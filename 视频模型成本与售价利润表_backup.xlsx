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460" activeTab="1"/>
  </bookViews>
  <sheets>
    <sheet name="说明" sheetId="1" r:id="rId1"/>
    <sheet name="费率与参数" sheetId="2" r:id="rId2"/>
    <sheet name="成本与现售价" sheetId="3" r:id="rId3"/>
    <sheet name="建议售价清单" sheetId="4" r:id="rId4"/>
    <sheet name="利润率曲线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<sst xmlns="http://schemas.openxmlformats.org/spreadsheetml/2006/main" count="2070" uniqueCount="131">
  <si>
    <t>视频模型成本与售价利润表</t>
  </si>
  <si>
    <t/>
  </si>
  <si>
    <t>· 生成时间：2026-09-29 · 数据口径：单条视频、输出 1 个；音频（有声/静音）在所有渠道成本相同，不单独区分。</t>
  </si>
  <si>
    <t>· 覆盖渠道：Ark 官方（Seedance 2.5 / 2.0 / 2.0 Mini）、MiniMax 官方（H3 / H3-Max）、GASIC 中转（Seedance 按条）、阿里百炼（Wan3.0 北京 + 国际）。</t>
  </si>
  <si>
    <t>· 成本公式：Seedance 系 = ROUNDUP(时长×宽×高×24/1024) tokens ÷ 1e6 × 元/百万tokens；MiniMax = 输出秒 × 元/秒；GASIC = 2 元/条；百炼 Wan3.0 =（输出秒 + 输入视频秒）× 元/秒。</t>
  </si>
  <si>
    <t>· Wan3.0 编辑/延长/参考模式的输入视频按秒计费，表中“输入视频秒”列按典型值 5 秒估算（可在明细表 F 列按实际输入时长修改）。</t>
  </si>
  <si>
    <t>· 现行售价 = 平台现行报价（预扣最高成本候选，向上取整到 1 积分）→ 当前基本零加价，仅作对照。</t>
  </si>
  <si>
    <t>· 建议售价 = 成本 ÷ (1 − 毛利率)，毛利率按单条成本对数插值：最便宜行 80% → 最货行 40%，夹在 30%~95%；低参数行落在 50%~100%，高参数行落在 30%~50%。</t>
  </si>
  <si>
    <t>· 想调价：改『费率与参数』里的黄色费率/参数，或直接改『建议售价清单』H 列（目标毛利率）——全表与曲线自动重算（请用 Excel / WPS 打开）。</t>
  </si>
  <si>
    <t>· 费率来源：Seedance 2.5/2.0 = 官方文档价（已实测校准）；Mini = 2.0 牌价×官方 4 折活动（暂定）；MiniMax = 官方秒单价；GASIC = 2 元/条；百炼 Wan3.0 = 官方牌价（北京限时 7 折实付更低，已备注）。</t>
  </si>
  <si>
    <t>· 官方价格页：ark.volcengine.com/region:cn-beijing/docs/ark/model-pricing（Seedance）、docs.bailian.console.aliyun.com/zh/model-studio/model-pricing（万相3.0）。</t>
  </si>
  <si>
    <t>① 通用参数（黄色单元格可改，全表自动重算）</t>
  </si>
  <si>
    <t>积分单价（元/积分）</t>
  </si>
  <si>
    <t>平台现状：1积分 = 0.01元</t>
  </si>
  <si>
    <t>积分取整步长（积分）</t>
  </si>
  <si>
    <t>报价向上取整到该步长</t>
  </si>
  <si>
    <t>最低积分</t>
  </si>
  <si>
    <t>单任务最低预扣/售价</t>
  </si>
  <si>
    <t>毛利率上限（低参数端）</t>
  </si>
  <si>
    <t>落在 50%~100% 区间</t>
  </si>
  <si>
    <t>毛利率下限（高参数端）</t>
  </si>
  <si>
    <t>落在 30%~50% 区间</t>
  </si>
  <si>
    <t>② Seedance 像素预设（token 计费公式用：tokens = ROUNDUP(时长×宽×高×帧率/1024)）</t>
  </si>
  <si>
    <t>分辨率</t>
  </si>
  <si>
    <t>宽</t>
  </si>
  <si>
    <t>高</t>
  </si>
  <si>
    <t>帧率</t>
  </si>
  <si>
    <t>480p</t>
  </si>
  <si>
    <t>720p</t>
  </si>
  <si>
    <t>1080p</t>
  </si>
  <si>
    <t>③ 成本费率表（黄色费率可改；改后两张明细表与曲线自动重算）</t>
  </si>
  <si>
    <t>费率键（路由|渠道|分辨率）</t>
  </si>
  <si>
    <t>路由</t>
  </si>
  <si>
    <t>渠道</t>
  </si>
  <si>
    <t>计费模式</t>
  </si>
  <si>
    <t>费率</t>
  </si>
  <si>
    <t>单位</t>
  </si>
  <si>
    <t>备注</t>
  </si>
  <si>
    <t>seedance-2.5|Ark官方|480p</t>
  </si>
  <si>
    <t>Seedance 2.5</t>
  </si>
  <si>
    <t>Ark官方</t>
  </si>
  <si>
    <t>token</t>
  </si>
  <si>
    <t>元/百万tokens</t>
  </si>
  <si>
    <t>官方文档价</t>
  </si>
  <si>
    <t>seedance-2.5|Ark官方|720p</t>
  </si>
  <si>
    <t>seedance-2.5|Ark官方|1080p</t>
  </si>
  <si>
    <t>seedance-2.0|Ark官方|480p</t>
  </si>
  <si>
    <t>Seedance 2.0</t>
  </si>
  <si>
    <t>seedance-2.0|Ark官方|720p</t>
  </si>
  <si>
    <t>seedance-2.0|Ark官方|1080p</t>
  </si>
  <si>
    <t>seedance-2.0-mini|Ark官方|480p</t>
  </si>
  <si>
    <t>Seedance 2.0 Mini（极速版）</t>
  </si>
  <si>
    <t>暂定：2.0牌价×官方4折活动，待核对</t>
  </si>
  <si>
    <t>seedance-2.0-mini|Ark官方|720p</t>
  </si>
  <si>
    <t>暂定：同上</t>
  </si>
  <si>
    <t>seedance-2.0-mini|Ark官方|1080p</t>
  </si>
  <si>
    <t>minimax-h3|MiniMax官方|768p</t>
  </si>
  <si>
    <t>MiniMax H3（海螺）</t>
  </si>
  <si>
    <t>MiniMax官方</t>
  </si>
  <si>
    <t>768p</t>
  </si>
  <si>
    <t>per_second</t>
  </si>
  <si>
    <t>元/秒</t>
  </si>
  <si>
    <t>官方 0.50元/秒</t>
  </si>
  <si>
    <t>minimax-h3|MiniMax官方|2k</t>
  </si>
  <si>
    <t>2k</t>
  </si>
  <si>
    <t>官方 0.80元/秒</t>
  </si>
  <si>
    <t>minimax-h3-max|MiniMax官方|480p</t>
  </si>
  <si>
    <t>MiniMax H3-Max（海螺）</t>
  </si>
  <si>
    <t>官方未公布，暂按 0.50元/秒</t>
  </si>
  <si>
    <t>minimax-h3-max|MiniMax官方|768p</t>
  </si>
  <si>
    <t>seedance-2.5|GASIC中转|任意</t>
  </si>
  <si>
    <t>GASIC中转</t>
  </si>
  <si>
    <t>任意</t>
  </si>
  <si>
    <t>per_task</t>
  </si>
  <si>
    <t>元/条</t>
  </si>
  <si>
    <t>中转站文档：2元/条，与时长分辨率无关</t>
  </si>
  <si>
    <t>seedance-2.0|GASIC中转|任意</t>
  </si>
  <si>
    <t>中转站文档：2元/条</t>
  </si>
  <si>
    <t>wan3.0-video|百炼（北京）|480p</t>
  </si>
  <si>
    <t>万相3.0（Wan3.0）</t>
  </si>
  <si>
    <t>百炼（北京）</t>
  </si>
  <si>
    <t>牌价；限时7折实付0.21</t>
  </si>
  <si>
    <t>wan3.0-video|百炼（北京）|720p</t>
  </si>
  <si>
    <t>牌价；7折实付0.42</t>
  </si>
  <si>
    <t>wan3.0-video|百炼（北京）|1080p</t>
  </si>
  <si>
    <t>牌价；7折实付0.84</t>
  </si>
  <si>
    <t>wan3.0-video|百炼（国际）|480p</t>
  </si>
  <si>
    <t>百炼（国际）</t>
  </si>
  <si>
    <t>国际站牌价</t>
  </si>
  <si>
    <t>wan3.0-video|百炼（国际）|720p</t>
  </si>
  <si>
    <t>wan3.0-video|百炼（国际）|1080p</t>
  </si>
  <si>
    <t>计费模式：token = 按生成 tokens（Seedance 系）；per_second = 按秒（MiniMax、百炼 Wan3.0）；per_task = 按条（GASIC）。</t>
  </si>
  <si>
    <t>百炼 Wan3.0 计费时长 = 输入视频时长 + 输出视频时长（编辑/延长/参考模式），失败不计费；北京地域 30 秒免费额度未计入。音频（有声/静音）各渠道成本相同，不单独区分。</t>
  </si>
  <si>
    <t>成本与现行售价明细（现行售价 = 预扣最高成本候选 → 平台当前基本零加价，用于对照）</t>
  </si>
  <si>
    <t>模型</t>
  </si>
  <si>
    <t>时长(秒)</t>
  </si>
  <si>
    <t>输入视频秒</t>
  </si>
  <si>
    <t>tokens</t>
  </si>
  <si>
    <t>成本(元)</t>
  </si>
  <si>
    <t>现售价(积分)</t>
  </si>
  <si>
    <t>现售价(元)</t>
  </si>
  <si>
    <t>现行毛利率</t>
  </si>
  <si>
    <t>doubao-seedance-2-5-260628</t>
  </si>
  <si>
    <t>—</t>
  </si>
  <si>
    <t>按条</t>
  </si>
  <si>
    <t>doubao-seedance-2-0-260128</t>
  </si>
  <si>
    <t>doubao-seedance-2-0-mini-260615</t>
  </si>
  <si>
    <t>MiniMax-H3</t>
  </si>
  <si>
    <t>每秒</t>
  </si>
  <si>
    <t>MiniMax-H3-Max</t>
  </si>
  <si>
    <t>wan3.0-video</t>
  </si>
  <si>
    <t>wan3.0-video（编辑/延长）</t>
  </si>
  <si>
    <t>建议售价清单（毛利率按“低参数 50%~100%、高参数 30%~50%”自动插值；H 列可手改单个毛利率，其余自动重算）</t>
  </si>
  <si>
    <t>目标毛利率</t>
  </si>
  <si>
    <t>建议售价(元)</t>
  </si>
  <si>
    <t>建议售价(积分)</t>
  </si>
  <si>
    <t>实际毛利率</t>
  </si>
  <si>
    <t>涨幅</t>
  </si>
  <si>
    <t>利润率曲线（X=单条成本元，Y=建议毛利率；每条线是一个“路由×分辨率”，随成本升高从 80% 平滑降到 40%）</t>
  </si>
  <si>
    <t>系列</t>
  </si>
  <si>
    <t>毛利率</t>
  </si>
  <si>
    <t>Wan3.0 480p</t>
  </si>
  <si>
    <t>Wan3.0 480p 编辑延长</t>
  </si>
  <si>
    <t>Wan3.0 720p</t>
  </si>
  <si>
    <t>Wan3.0 720p 编辑延长</t>
  </si>
  <si>
    <t>Wan3.0 1080p</t>
  </si>
  <si>
    <t>Wan3.0 1080p 编辑延长</t>
  </si>
  <si>
    <t>H3 768p</t>
  </si>
  <si>
    <t>H3 2k</t>
  </si>
  <si>
    <t>Mini 1080p</t>
  </si>
  <si>
    <t>2.5 1080p(Ark)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</si>
</sst>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00"/>
    <numFmt numFmtId="178" formatCode="\+0%;\-0%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rgb="FF6B72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76" fontId="0" fillId="0" borderId="0" xfId="0" applyNumberFormat="1"/>
    <xf numFmtId="0" fontId="0" fillId="0" borderId="1" xfId="0" applyBorder="1"/>
    <xf numFmtId="0" fontId="0" fillId="3" borderId="1" xfId="0" applyFill="1" applyBorder="1"/>
    <xf numFmtId="177" fontId="0" fillId="3" borderId="1" xfId="0" applyNumberFormat="1" applyFill="1" applyBorder="1"/>
    <xf numFmtId="176" fontId="0" fillId="4" borderId="1" xfId="0" applyNumberFormat="1" applyFill="1" applyBorder="1"/>
    <xf numFmtId="2" fontId="0" fillId="3" borderId="1" xfId="0" applyNumberFormat="1" applyFill="1" applyBorder="1"/>
    <xf numFmtId="176" fontId="0" fillId="3" borderId="1" xfId="0" applyNumberFormat="1" applyFill="1" applyBorder="1"/>
    <xf numFmtId="178" fontId="0" fillId="3" borderId="1" xfId="0" applyNumberFormat="1" applyFill="1" applyBorder="1"/>
    <xf numFmtId="0" fontId="0" fillId="4" borderId="1" xfId="0" applyFill="1" applyBorder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单条成本 → 建议毛利率（对数插值 80%→40%）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"Wan3.0 480p"</c:f>
              <c:strCache>
                <c:ptCount val="1"/>
                <c:pt idx="0">
                  <c:v>Wan3.0 480p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4272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ln w="9525" cap="flat" cmpd="sng" algn="ctr">
                <a:solidFill>
                  <a:schemeClr val="accent3">
                    <a:shade val="42727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利润率曲线!$B$4:$B$8</c:f>
              <c:numCache>
                <c:formatCode>General</c:formatCode>
                <c:ptCount val="5"/>
                <c:pt idx="0">
                  <c:v>1.5</c:v>
                </c:pt>
                <c:pt idx="1">
                  <c:v>3</c:v>
                </c:pt>
                <c:pt idx="2">
                  <c:v>4.5</c:v>
                </c:pt>
                <c:pt idx="3">
                  <c:v>6</c:v>
                </c:pt>
                <c:pt idx="4">
                  <c:v>9</c:v>
                </c:pt>
              </c:numCache>
            </c:numRef>
          </c:xVal>
          <c:yVal>
            <c:numRef>
              <c:f>利润率曲线!$C$4:$C$8</c:f>
              <c:numCache>
                <c:formatCode>0.0%</c:formatCode>
                <c:ptCount val="5"/>
                <c:pt idx="0">
                  <c:v>0.418604651162791</c:v>
                </c:pt>
                <c:pt idx="1">
                  <c:v>0.371069182389937</c:v>
                </c:pt>
                <c:pt idx="2">
                  <c:v>0.343065693430657</c:v>
                </c:pt>
                <c:pt idx="3">
                  <c:v>0.322799097065463</c:v>
                </c:pt>
                <c:pt idx="4">
                  <c:v>0.294670846394984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"Wan3.0 480p 编辑延长"</c:f>
              <c:strCache>
                <c:ptCount val="1"/>
                <c:pt idx="0">
                  <c:v>Wan3.0 480p 编辑延长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55455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ln w="9525" cap="flat" cmpd="sng" algn="ctr">
                <a:solidFill>
                  <a:schemeClr val="accent3">
                    <a:shade val="55455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利润率曲线!$B$9:$B$13</c:f>
              <c:numCache>
                <c:formatCode>General</c:formatCode>
                <c:ptCount val="5"/>
                <c:pt idx="0">
                  <c:v>3</c:v>
                </c:pt>
                <c:pt idx="1">
                  <c:v>4.5</c:v>
                </c:pt>
                <c:pt idx="2">
                  <c:v>6</c:v>
                </c:pt>
                <c:pt idx="3">
                  <c:v>7.5</c:v>
                </c:pt>
                <c:pt idx="4">
                  <c:v>10.5</c:v>
                </c:pt>
              </c:numCache>
            </c:numRef>
          </c:xVal>
          <c:yVal>
            <c:numRef>
              <c:f>利润率曲线!$C$9:$C$13</c:f>
              <c:numCache>
                <c:formatCode>0.0%</c:formatCode>
                <c:ptCount val="5"/>
                <c:pt idx="0">
                  <c:v>0.371069182389937</c:v>
                </c:pt>
                <c:pt idx="1">
                  <c:v>0.343065693430657</c:v>
                </c:pt>
                <c:pt idx="2">
                  <c:v>0.322799097065463</c:v>
                </c:pt>
                <c:pt idx="3">
                  <c:v>0.307479224376731</c:v>
                </c:pt>
                <c:pt idx="4">
                  <c:v>0.284253578732106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"Wan3.0 720p"</c:f>
              <c:strCache>
                <c:ptCount val="1"/>
                <c:pt idx="0">
                  <c:v>Wan3.0 720p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68182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ln w="9525" cap="flat" cmpd="sng" algn="ctr">
                <a:solidFill>
                  <a:schemeClr val="accent3">
                    <a:shade val="68182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利润率曲线!$B$14:$B$18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18</c:v>
                </c:pt>
              </c:numCache>
            </c:numRef>
          </c:xVal>
          <c:yVal>
            <c:numRef>
              <c:f>利润率曲线!$C$14:$C$18</c:f>
              <c:numCache>
                <c:formatCode>0.0%</c:formatCode>
                <c:ptCount val="5"/>
                <c:pt idx="0">
                  <c:v>0.371069182389937</c:v>
                </c:pt>
                <c:pt idx="1">
                  <c:v>0.322799097065463</c:v>
                </c:pt>
                <c:pt idx="2">
                  <c:v>0.294670846394984</c:v>
                </c:pt>
                <c:pt idx="3">
                  <c:v>0.274924471299094</c:v>
                </c:pt>
                <c:pt idx="4">
                  <c:v>0.246861924686193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"Wan3.0 720p 编辑延长"</c:f>
              <c:strCache>
                <c:ptCount val="1"/>
                <c:pt idx="0">
                  <c:v>Wan3.0 720p 编辑延长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80909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ln w="9525" cap="flat" cmpd="sng" algn="ctr">
                <a:solidFill>
                  <a:schemeClr val="accent3">
                    <a:shade val="80909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利润率曲线!$B$19:$B$23</c:f>
              <c:numCache>
                <c:formatCode>General</c:formatCode>
                <c:ptCount val="5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21</c:v>
                </c:pt>
              </c:numCache>
            </c:numRef>
          </c:xVal>
          <c:yVal>
            <c:numRef>
              <c:f>利润率曲线!$C$19:$C$23</c:f>
              <c:numCache>
                <c:formatCode>0.0%</c:formatCode>
                <c:ptCount val="5"/>
                <c:pt idx="0">
                  <c:v>0.322799097065463</c:v>
                </c:pt>
                <c:pt idx="1">
                  <c:v>0.294670846394984</c:v>
                </c:pt>
                <c:pt idx="2">
                  <c:v>0.274924471299094</c:v>
                </c:pt>
                <c:pt idx="3">
                  <c:v>0.259624876604146</c:v>
                </c:pt>
                <c:pt idx="4">
                  <c:v>0.236085849399782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"Wan3.0 1080p"</c:f>
              <c:strCache>
                <c:ptCount val="1"/>
                <c:pt idx="0">
                  <c:v>Wan3.0 1080p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93636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ln w="9525" cap="flat" cmpd="sng" algn="ctr">
                <a:solidFill>
                  <a:schemeClr val="accent3">
                    <a:shade val="93636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利润率曲线!$B$24:$B$28</c:f>
              <c:numCache>
                <c:formatCode>General</c:formatCode>
                <c:ptCount val="5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36</c:v>
                </c:pt>
              </c:numCache>
            </c:numRef>
          </c:xVal>
          <c:yVal>
            <c:numRef>
              <c:f>利润率曲线!$C$24:$C$28</c:f>
              <c:numCache>
                <c:formatCode>0.0%</c:formatCode>
                <c:ptCount val="5"/>
                <c:pt idx="0">
                  <c:v>0.322799097065463</c:v>
                </c:pt>
                <c:pt idx="1">
                  <c:v>0.274924471299094</c:v>
                </c:pt>
                <c:pt idx="2">
                  <c:v>0.246861924686193</c:v>
                </c:pt>
                <c:pt idx="3">
                  <c:v>0.22680412371134</c:v>
                </c:pt>
                <c:pt idx="4">
                  <c:v>0.198931909212283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"Wan3.0 1080p 编辑延长"</c:f>
              <c:strCache>
                <c:ptCount val="1"/>
                <c:pt idx="0">
                  <c:v>Wan3.0 1080p 编辑延长</c:v>
                </c:pt>
              </c:strCache>
            </c:strRef>
          </c:tx>
          <c:spPr>
            <a:ln w="47625" cap="rnd" cmpd="sng" algn="ctr">
              <a:solidFill>
                <a:schemeClr val="accent3">
                  <a:tint val="93636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ln w="9525" cap="flat" cmpd="sng" algn="ctr">
                <a:solidFill>
                  <a:schemeClr val="accent3">
                    <a:tint val="93636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利润率曲线!$B$29:$B$33</c:f>
              <c:numCache>
                <c:formatCode>General</c:formatCode>
                <c:ptCount val="5"/>
                <c:pt idx="0">
                  <c:v>12</c:v>
                </c:pt>
                <c:pt idx="1">
                  <c:v>18</c:v>
                </c:pt>
                <c:pt idx="2">
                  <c:v>24</c:v>
                </c:pt>
                <c:pt idx="3">
                  <c:v>30</c:v>
                </c:pt>
                <c:pt idx="4">
                  <c:v>42</c:v>
                </c:pt>
              </c:numCache>
            </c:numRef>
          </c:xVal>
          <c:yVal>
            <c:numRef>
              <c:f>利润率曲线!$C$29:$C$33</c:f>
              <c:numCache>
                <c:formatCode>0.0%</c:formatCode>
                <c:ptCount val="5"/>
                <c:pt idx="0">
                  <c:v>0.274924471299094</c:v>
                </c:pt>
                <c:pt idx="1">
                  <c:v>0.246861924686193</c:v>
                </c:pt>
                <c:pt idx="2">
                  <c:v>0.22680412371134</c:v>
                </c:pt>
                <c:pt idx="3">
                  <c:v>0.211563731931669</c:v>
                </c:pt>
                <c:pt idx="4">
                  <c:v>0.188248936992656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"H3 768p"</c:f>
              <c:strCache>
                <c:ptCount val="1"/>
                <c:pt idx="0">
                  <c:v>H3 768p</c:v>
                </c:pt>
              </c:strCache>
            </c:strRef>
          </c:tx>
          <c:spPr>
            <a:ln w="47625" cap="rnd" cmpd="sng" algn="ctr">
              <a:solidFill>
                <a:schemeClr val="accent3">
                  <a:tint val="80909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ln w="9525" cap="flat" cmpd="sng" algn="ctr">
                <a:solidFill>
                  <a:schemeClr val="accent3">
                    <a:tint val="80909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利润率曲线!$B$34:$B$45</c:f>
              <c:numCache>
                <c:formatCode>General</c:formatCode>
                <c:ptCount val="12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</c:numCache>
            </c:numRef>
          </c:xVal>
          <c:yVal>
            <c:numRef>
              <c:f>利润率曲线!$C$34:$C$45</c:f>
              <c:numCache>
                <c:formatCode>0.0%</c:formatCode>
                <c:ptCount val="12"/>
                <c:pt idx="0">
                  <c:v>0.399399399399399</c:v>
                </c:pt>
                <c:pt idx="1">
                  <c:v>0.384236453201971</c:v>
                </c:pt>
                <c:pt idx="2">
                  <c:v>0.371069182389937</c:v>
                </c:pt>
                <c:pt idx="3">
                  <c:v>0.360146252285192</c:v>
                </c:pt>
                <c:pt idx="4">
                  <c:v>0.351701782820097</c:v>
                </c:pt>
                <c:pt idx="5">
                  <c:v>0.343065693430657</c:v>
                </c:pt>
                <c:pt idx="6">
                  <c:v>0.335989375830013</c:v>
                </c:pt>
                <c:pt idx="7">
                  <c:v>0.329268292682927</c:v>
                </c:pt>
                <c:pt idx="8">
                  <c:v>0.322799097065463</c:v>
                </c:pt>
                <c:pt idx="9">
                  <c:v>0.317226890756303</c:v>
                </c:pt>
                <c:pt idx="10">
                  <c:v>0.31237721021611</c:v>
                </c:pt>
                <c:pt idx="11">
                  <c:v>0.307479224376731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"H3 2k"</c:f>
              <c:strCache>
                <c:ptCount val="1"/>
                <c:pt idx="0">
                  <c:v>H3 2k</c:v>
                </c:pt>
              </c:strCache>
            </c:strRef>
          </c:tx>
          <c:spPr>
            <a:ln w="47625" cap="rnd" cmpd="sng" algn="ctr">
              <a:solidFill>
                <a:schemeClr val="accent3">
                  <a:tint val="68182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ln w="9525" cap="flat" cmpd="sng" algn="ctr">
                <a:solidFill>
                  <a:schemeClr val="accent3">
                    <a:tint val="68182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利润率曲线!$B$46:$B$57</c:f>
              <c:numCache>
                <c:formatCode>General</c:formatCode>
                <c:ptCount val="12"/>
                <c:pt idx="0">
                  <c:v>3.2</c:v>
                </c:pt>
                <c:pt idx="1">
                  <c:v>4</c:v>
                </c:pt>
                <c:pt idx="2">
                  <c:v>4.8</c:v>
                </c:pt>
                <c:pt idx="3">
                  <c:v>5.6</c:v>
                </c:pt>
                <c:pt idx="4">
                  <c:v>6.4</c:v>
                </c:pt>
                <c:pt idx="5">
                  <c:v>7.2</c:v>
                </c:pt>
                <c:pt idx="6">
                  <c:v>8</c:v>
                </c:pt>
                <c:pt idx="7">
                  <c:v>8.8</c:v>
                </c:pt>
                <c:pt idx="8">
                  <c:v>9.6</c:v>
                </c:pt>
                <c:pt idx="9">
                  <c:v>10.4</c:v>
                </c:pt>
                <c:pt idx="10">
                  <c:v>11.2</c:v>
                </c:pt>
                <c:pt idx="11">
                  <c:v>12</c:v>
                </c:pt>
              </c:numCache>
            </c:numRef>
          </c:xVal>
          <c:yVal>
            <c:numRef>
              <c:f>利润率曲线!$C$46:$C$57</c:f>
              <c:numCache>
                <c:formatCode>0.0%</c:formatCode>
                <c:ptCount val="12"/>
                <c:pt idx="0">
                  <c:v>0.366336633663366</c:v>
                </c:pt>
                <c:pt idx="1">
                  <c:v>0.351701782820097</c:v>
                </c:pt>
                <c:pt idx="2">
                  <c:v>0.338842975206611</c:v>
                </c:pt>
                <c:pt idx="3">
                  <c:v>0.327731092436975</c:v>
                </c:pt>
                <c:pt idx="4">
                  <c:v>0.318423855165069</c:v>
                </c:pt>
                <c:pt idx="5">
                  <c:v>0.310344827586207</c:v>
                </c:pt>
                <c:pt idx="6">
                  <c:v>0.303135888501742</c:v>
                </c:pt>
                <c:pt idx="7">
                  <c:v>0.29656274980016</c:v>
                </c:pt>
                <c:pt idx="8">
                  <c:v>0.290465631929047</c:v>
                </c:pt>
                <c:pt idx="9">
                  <c:v>0.284731774415406</c:v>
                </c:pt>
                <c:pt idx="10">
                  <c:v>0.279742765273312</c:v>
                </c:pt>
                <c:pt idx="11">
                  <c:v>0.274924471299094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"Mini 1080p"</c:f>
              <c:strCache>
                <c:ptCount val="1"/>
                <c:pt idx="0">
                  <c:v>Mini 1080p</c:v>
                </c:pt>
              </c:strCache>
            </c:strRef>
          </c:tx>
          <c:spPr>
            <a:ln w="47625" cap="rnd" cmpd="sng" algn="ctr">
              <a:solidFill>
                <a:schemeClr val="accent3">
                  <a:tint val="55455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ln w="9525" cap="flat" cmpd="sng" algn="ctr">
                <a:solidFill>
                  <a:schemeClr val="accent3">
                    <a:tint val="55455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利润率曲线!$B$58:$B$69</c:f>
              <c:numCache>
                <c:formatCode>General</c:formatCode>
                <c:ptCount val="12"/>
                <c:pt idx="0">
                  <c:v>5.832</c:v>
                </c:pt>
                <c:pt idx="1">
                  <c:v>7.29</c:v>
                </c:pt>
                <c:pt idx="2">
                  <c:v>8.748</c:v>
                </c:pt>
                <c:pt idx="3">
                  <c:v>10.206</c:v>
                </c:pt>
                <c:pt idx="4">
                  <c:v>11.664</c:v>
                </c:pt>
                <c:pt idx="5">
                  <c:v>13.122</c:v>
                </c:pt>
                <c:pt idx="6">
                  <c:v>14.58</c:v>
                </c:pt>
                <c:pt idx="7">
                  <c:v>16.038</c:v>
                </c:pt>
                <c:pt idx="8">
                  <c:v>17.496</c:v>
                </c:pt>
                <c:pt idx="9">
                  <c:v>18.954</c:v>
                </c:pt>
                <c:pt idx="10">
                  <c:v>20.412</c:v>
                </c:pt>
                <c:pt idx="11">
                  <c:v>21.87</c:v>
                </c:pt>
              </c:numCache>
            </c:numRef>
          </c:xVal>
          <c:yVal>
            <c:numRef>
              <c:f>利润率曲线!$C$58:$C$69</c:f>
              <c:numCache>
                <c:formatCode>0.0%</c:formatCode>
                <c:ptCount val="12"/>
                <c:pt idx="0">
                  <c:v>0.325</c:v>
                </c:pt>
                <c:pt idx="1">
                  <c:v>0.309659090909091</c:v>
                </c:pt>
                <c:pt idx="2">
                  <c:v>0.296784565916399</c:v>
                </c:pt>
                <c:pt idx="3">
                  <c:v>0.286293706293706</c:v>
                </c:pt>
                <c:pt idx="4">
                  <c:v>0.276875387476751</c:v>
                </c:pt>
                <c:pt idx="5">
                  <c:v>0.268561872909699</c:v>
                </c:pt>
                <c:pt idx="6">
                  <c:v>0.261398176291793</c:v>
                </c:pt>
                <c:pt idx="7">
                  <c:v>0.254739776951673</c:v>
                </c:pt>
                <c:pt idx="8">
                  <c:v>0.248776298840704</c:v>
                </c:pt>
                <c:pt idx="9">
                  <c:v>0.243353293413174</c:v>
                </c:pt>
                <c:pt idx="10">
                  <c:v>0.238073908174692</c:v>
                </c:pt>
                <c:pt idx="11">
                  <c:v>0.233438485804416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"2.5 1080p(Ark)"</c:f>
              <c:strCache>
                <c:ptCount val="1"/>
                <c:pt idx="0">
                  <c:v>2.5 1080p(Ark)</c:v>
                </c:pt>
              </c:strCache>
            </c:strRef>
          </c:tx>
          <c:spPr>
            <a:ln w="47625" cap="rnd" cmpd="sng" algn="ctr">
              <a:solidFill>
                <a:schemeClr val="accent3">
                  <a:tint val="4272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ln w="9525" cap="flat" cmpd="sng" algn="ctr">
                <a:solidFill>
                  <a:schemeClr val="accent3">
                    <a:tint val="42727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利润率曲线!$B$70:$B$71</c:f>
              <c:numCache>
                <c:formatCode>General</c:formatCode>
                <c:ptCount val="2"/>
                <c:pt idx="0">
                  <c:v>36.45</c:v>
                </c:pt>
                <c:pt idx="1">
                  <c:v>72.9</c:v>
                </c:pt>
              </c:numCache>
            </c:numRef>
          </c:xVal>
          <c:yVal>
            <c:numRef>
              <c:f>利润率曲线!$C$70:$C$71</c:f>
              <c:numCache>
                <c:formatCode>0.0%</c:formatCode>
                <c:ptCount val="2"/>
                <c:pt idx="0">
                  <c:v>0.198019801980198</c:v>
                </c:pt>
                <c:pt idx="1">
                  <c:v>0.150052465897167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10"/>
      </c:scatterChart>
      <c:valAx>
        <c:axId val="2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毛利率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midCat"/>
      </c:valAx>
      <c:valAx>
        <c:axId val="1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单条成本（元）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0e70a3-cb29-44f2-a83e-0ba1e820d6d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2</xdr:row>
      <xdr:rowOff>0</xdr:rowOff>
    </xdr:from>
    <xdr:ext cx="9360000" cy="5228640"/>
    <xdr:graphicFrame>
      <xdr:nvGraphicFramePr>
        <xdr:cNvPr id="2" name="Chart 1"/>
        <xdr:cNvGraphicFramePr/>
      </xdr:nvGraphicFramePr>
      <xdr:xfrm>
        <a:off x="3896360" y="472440"/>
        <a:ext cx="9359900" cy="5228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22"/>
  <sheetViews>
    <sheetView showGridLines="0" workbookViewId="0">
      <selection activeCell="A1" sqref="A1"/>
    </sheetView>
  </sheetViews>
  <sheetFormatPr defaultColWidth="9" defaultRowHeight="16.8"/>
  <cols>
    <col min="1" max="1" width="110" customWidth="1"/>
  </cols>
  <sheetData>
    <row r="2" ht="20.4" spans="1:1">
      <c r="A2" s="1" t="s">
        <v>0</v>
      </c>
    </row>
    <row r="4" spans="1:1">
      <c r="A4" t="s">
        <v>1</v>
      </c>
    </row>
    <row r="6" spans="1:1">
      <c r="A6" t="s">
        <v>2</v>
      </c>
    </row>
    <row r="8" spans="1:1">
      <c r="A8" t="s">
        <v>3</v>
      </c>
    </row>
    <row r="10" spans="1:1">
      <c r="A10" t="s">
        <v>4</v>
      </c>
    </row>
    <row r="12" spans="1:1">
      <c r="A12" t="s">
        <v>5</v>
      </c>
    </row>
    <row r="14" spans="1:1">
      <c r="A14" t="s">
        <v>6</v>
      </c>
    </row>
    <row r="16" spans="1:1">
      <c r="A16" t="s">
        <v>7</v>
      </c>
    </row>
    <row r="18" spans="1:1">
      <c r="A18" t="s">
        <v>8</v>
      </c>
    </row>
    <row r="20" spans="1:1">
      <c r="A20" t="s">
        <v>9</v>
      </c>
    </row>
    <row r="22" spans="1:1">
      <c r="A22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showGridLines="0" tabSelected="1" workbookViewId="0">
      <selection activeCell="B7" sqref="B7"/>
    </sheetView>
  </sheetViews>
  <sheetFormatPr defaultColWidth="9" defaultRowHeight="16.8" outlineLevelCol="7"/>
  <cols>
    <col min="1" max="1" width="34" customWidth="1"/>
    <col min="2" max="2" width="16" customWidth="1"/>
    <col min="3" max="3" width="12" customWidth="1"/>
    <col min="4" max="4" width="14" customWidth="1"/>
    <col min="5" max="5" width="46" customWidth="1"/>
    <col min="6" max="6" width="4" customWidth="1"/>
  </cols>
  <sheetData>
    <row r="1" ht="20.4" spans="1:8">
      <c r="A1" s="1" t="s">
        <v>11</v>
      </c>
    </row>
    <row r="2" spans="1:8">
      <c r="A2" t="s">
        <v>12</v>
      </c>
      <c r="B2" s="11">
        <v>0.01</v>
      </c>
      <c r="C2" s="12" t="s">
        <v>13</v>
      </c>
    </row>
    <row r="3" spans="1:8">
      <c r="A3" t="s">
        <v>14</v>
      </c>
      <c r="B3" s="11">
        <v>1</v>
      </c>
      <c r="C3" s="12" t="s">
        <v>15</v>
      </c>
    </row>
    <row r="4" spans="1:8">
      <c r="A4" t="s">
        <v>16</v>
      </c>
      <c r="B4" s="11">
        <v>1</v>
      </c>
      <c r="C4" s="12" t="s">
        <v>17</v>
      </c>
    </row>
    <row r="5" spans="1:8">
      <c r="A5" t="s">
        <v>18</v>
      </c>
      <c r="B5" s="11">
        <v>0.5</v>
      </c>
      <c r="C5" s="12" t="s">
        <v>19</v>
      </c>
    </row>
    <row r="6" spans="1:8">
      <c r="A6" t="s">
        <v>20</v>
      </c>
      <c r="B6" s="11">
        <v>0.15</v>
      </c>
      <c r="C6" s="12" t="s">
        <v>21</v>
      </c>
    </row>
    <row r="8" ht="20.4" spans="1:8">
      <c r="A8" s="1" t="s">
        <v>22</v>
      </c>
    </row>
    <row r="9" spans="1:8">
      <c r="A9" s="2" t="s">
        <v>23</v>
      </c>
      <c r="B9" s="2" t="s">
        <v>24</v>
      </c>
      <c r="C9" s="2" t="s">
        <v>25</v>
      </c>
      <c r="D9" s="2" t="s">
        <v>26</v>
      </c>
    </row>
    <row r="10" spans="1:8">
      <c r="A10" s="4" t="s">
        <v>27</v>
      </c>
      <c r="B10" s="4">
        <v>854</v>
      </c>
      <c r="C10" s="4">
        <v>480</v>
      </c>
      <c r="D10" s="4">
        <v>24</v>
      </c>
    </row>
    <row r="11" spans="1:8">
      <c r="A11" s="4" t="s">
        <v>28</v>
      </c>
      <c r="B11" s="4">
        <v>1280</v>
      </c>
      <c r="C11" s="4">
        <v>720</v>
      </c>
      <c r="D11" s="4">
        <v>24</v>
      </c>
    </row>
    <row r="12" spans="1:8">
      <c r="A12" s="4" t="s">
        <v>29</v>
      </c>
      <c r="B12" s="4">
        <v>1920</v>
      </c>
      <c r="C12" s="4">
        <v>1080</v>
      </c>
      <c r="D12" s="4">
        <v>24</v>
      </c>
    </row>
    <row r="14" ht="20.4" spans="1:8">
      <c r="A14" s="1" t="s">
        <v>30</v>
      </c>
    </row>
    <row r="15" spans="1:8">
      <c r="A15" s="2" t="s">
        <v>31</v>
      </c>
      <c r="B15" s="2" t="s">
        <v>32</v>
      </c>
      <c r="C15" s="2" t="s">
        <v>33</v>
      </c>
      <c r="D15" s="2" t="s">
        <v>23</v>
      </c>
      <c r="E15" s="2" t="s">
        <v>34</v>
      </c>
      <c r="F15" s="2" t="s">
        <v>35</v>
      </c>
      <c r="G15" s="2" t="s">
        <v>36</v>
      </c>
      <c r="H15" s="2" t="s">
        <v>37</v>
      </c>
    </row>
    <row r="16" spans="1:8">
      <c r="A16" s="4" t="s">
        <v>38</v>
      </c>
      <c r="B16" s="4" t="s">
        <v>39</v>
      </c>
      <c r="C16" s="4" t="s">
        <v>40</v>
      </c>
      <c r="D16" s="4" t="s">
        <v>27</v>
      </c>
      <c r="E16" s="4" t="s">
        <v>41</v>
      </c>
      <c r="F16" s="11">
        <v>60</v>
      </c>
      <c r="G16" s="4" t="s">
        <v>42</v>
      </c>
      <c r="H16" s="4" t="s">
        <v>43</v>
      </c>
    </row>
    <row r="17" spans="1:8">
      <c r="A17" s="4" t="s">
        <v>44</v>
      </c>
      <c r="B17" s="4" t="s">
        <v>39</v>
      </c>
      <c r="C17" s="4" t="s">
        <v>40</v>
      </c>
      <c r="D17" s="4" t="s">
        <v>28</v>
      </c>
      <c r="E17" s="4" t="s">
        <v>41</v>
      </c>
      <c r="F17" s="11">
        <v>90</v>
      </c>
      <c r="G17" s="4" t="s">
        <v>42</v>
      </c>
      <c r="H17" s="4" t="s">
        <v>43</v>
      </c>
    </row>
    <row r="18" spans="1:8">
      <c r="A18" s="4" t="s">
        <v>45</v>
      </c>
      <c r="B18" s="4" t="s">
        <v>39</v>
      </c>
      <c r="C18" s="4" t="s">
        <v>40</v>
      </c>
      <c r="D18" s="4" t="s">
        <v>29</v>
      </c>
      <c r="E18" s="4" t="s">
        <v>41</v>
      </c>
      <c r="F18" s="11">
        <v>150</v>
      </c>
      <c r="G18" s="4" t="s">
        <v>42</v>
      </c>
      <c r="H18" s="4" t="s">
        <v>43</v>
      </c>
    </row>
    <row r="19" spans="1:8">
      <c r="A19" s="4" t="s">
        <v>46</v>
      </c>
      <c r="B19" s="4" t="s">
        <v>47</v>
      </c>
      <c r="C19" s="4" t="s">
        <v>40</v>
      </c>
      <c r="D19" s="4" t="s">
        <v>27</v>
      </c>
      <c r="E19" s="4" t="s">
        <v>41</v>
      </c>
      <c r="F19" s="11">
        <v>30</v>
      </c>
      <c r="G19" s="4" t="s">
        <v>42</v>
      </c>
      <c r="H19" s="4" t="s">
        <v>43</v>
      </c>
    </row>
    <row r="20" spans="1:8">
      <c r="A20" s="4" t="s">
        <v>48</v>
      </c>
      <c r="B20" s="4" t="s">
        <v>47</v>
      </c>
      <c r="C20" s="4" t="s">
        <v>40</v>
      </c>
      <c r="D20" s="4" t="s">
        <v>28</v>
      </c>
      <c r="E20" s="4" t="s">
        <v>41</v>
      </c>
      <c r="F20" s="11">
        <v>45</v>
      </c>
      <c r="G20" s="4" t="s">
        <v>42</v>
      </c>
      <c r="H20" s="4" t="s">
        <v>43</v>
      </c>
    </row>
    <row r="21" spans="1:8">
      <c r="A21" s="4" t="s">
        <v>49</v>
      </c>
      <c r="B21" s="4" t="s">
        <v>47</v>
      </c>
      <c r="C21" s="4" t="s">
        <v>40</v>
      </c>
      <c r="D21" s="4" t="s">
        <v>29</v>
      </c>
      <c r="E21" s="4" t="s">
        <v>41</v>
      </c>
      <c r="F21" s="11">
        <v>75</v>
      </c>
      <c r="G21" s="4" t="s">
        <v>42</v>
      </c>
      <c r="H21" s="4" t="s">
        <v>43</v>
      </c>
    </row>
    <row r="22" spans="1:8">
      <c r="A22" s="4" t="s">
        <v>50</v>
      </c>
      <c r="B22" s="4" t="s">
        <v>51</v>
      </c>
      <c r="C22" s="4" t="s">
        <v>40</v>
      </c>
      <c r="D22" s="4" t="s">
        <v>27</v>
      </c>
      <c r="E22" s="4" t="s">
        <v>41</v>
      </c>
      <c r="F22" s="11">
        <v>12</v>
      </c>
      <c r="G22" s="4" t="s">
        <v>42</v>
      </c>
      <c r="H22" s="4" t="s">
        <v>52</v>
      </c>
    </row>
    <row r="23" spans="1:8">
      <c r="A23" s="4" t="s">
        <v>53</v>
      </c>
      <c r="B23" s="4" t="s">
        <v>51</v>
      </c>
      <c r="C23" s="4" t="s">
        <v>40</v>
      </c>
      <c r="D23" s="4" t="s">
        <v>28</v>
      </c>
      <c r="E23" s="4" t="s">
        <v>41</v>
      </c>
      <c r="F23" s="11">
        <v>18</v>
      </c>
      <c r="G23" s="4" t="s">
        <v>42</v>
      </c>
      <c r="H23" s="4" t="s">
        <v>54</v>
      </c>
    </row>
    <row r="24" spans="1:8">
      <c r="A24" s="4" t="s">
        <v>55</v>
      </c>
      <c r="B24" s="4" t="s">
        <v>51</v>
      </c>
      <c r="C24" s="4" t="s">
        <v>40</v>
      </c>
      <c r="D24" s="4" t="s">
        <v>29</v>
      </c>
      <c r="E24" s="4" t="s">
        <v>41</v>
      </c>
      <c r="F24" s="11">
        <v>30</v>
      </c>
      <c r="G24" s="4" t="s">
        <v>42</v>
      </c>
      <c r="H24" s="4" t="s">
        <v>54</v>
      </c>
    </row>
    <row r="25" spans="1:8">
      <c r="A25" s="4" t="s">
        <v>56</v>
      </c>
      <c r="B25" s="4" t="s">
        <v>57</v>
      </c>
      <c r="C25" s="4" t="s">
        <v>58</v>
      </c>
      <c r="D25" s="4" t="s">
        <v>59</v>
      </c>
      <c r="E25" s="4" t="s">
        <v>60</v>
      </c>
      <c r="F25" s="11">
        <v>0.5</v>
      </c>
      <c r="G25" s="4" t="s">
        <v>61</v>
      </c>
      <c r="H25" s="4" t="s">
        <v>62</v>
      </c>
    </row>
    <row r="26" spans="1:8">
      <c r="A26" s="4" t="s">
        <v>63</v>
      </c>
      <c r="B26" s="4" t="s">
        <v>57</v>
      </c>
      <c r="C26" s="4" t="s">
        <v>58</v>
      </c>
      <c r="D26" s="4" t="s">
        <v>64</v>
      </c>
      <c r="E26" s="4" t="s">
        <v>60</v>
      </c>
      <c r="F26" s="11">
        <v>0.8</v>
      </c>
      <c r="G26" s="4" t="s">
        <v>61</v>
      </c>
      <c r="H26" s="4" t="s">
        <v>65</v>
      </c>
    </row>
    <row r="27" spans="1:8">
      <c r="A27" s="4" t="s">
        <v>66</v>
      </c>
      <c r="B27" s="4" t="s">
        <v>67</v>
      </c>
      <c r="C27" s="4" t="s">
        <v>58</v>
      </c>
      <c r="D27" s="4" t="s">
        <v>27</v>
      </c>
      <c r="E27" s="4" t="s">
        <v>60</v>
      </c>
      <c r="F27" s="11">
        <v>0.5</v>
      </c>
      <c r="G27" s="4" t="s">
        <v>61</v>
      </c>
      <c r="H27" s="4" t="s">
        <v>68</v>
      </c>
    </row>
    <row r="28" spans="1:8">
      <c r="A28" s="4" t="s">
        <v>69</v>
      </c>
      <c r="B28" s="4" t="s">
        <v>67</v>
      </c>
      <c r="C28" s="4" t="s">
        <v>58</v>
      </c>
      <c r="D28" s="4" t="s">
        <v>59</v>
      </c>
      <c r="E28" s="4" t="s">
        <v>60</v>
      </c>
      <c r="F28" s="11">
        <v>0.5</v>
      </c>
      <c r="G28" s="4" t="s">
        <v>61</v>
      </c>
      <c r="H28" s="4" t="s">
        <v>68</v>
      </c>
    </row>
    <row r="29" spans="1:8">
      <c r="A29" s="4" t="s">
        <v>70</v>
      </c>
      <c r="B29" s="4" t="s">
        <v>39</v>
      </c>
      <c r="C29" s="4" t="s">
        <v>71</v>
      </c>
      <c r="D29" s="4" t="s">
        <v>72</v>
      </c>
      <c r="E29" s="4" t="s">
        <v>73</v>
      </c>
      <c r="F29" s="11">
        <v>2</v>
      </c>
      <c r="G29" s="4" t="s">
        <v>74</v>
      </c>
      <c r="H29" s="4" t="s">
        <v>75</v>
      </c>
    </row>
    <row r="30" spans="1:8">
      <c r="A30" s="4" t="s">
        <v>76</v>
      </c>
      <c r="B30" s="4" t="s">
        <v>47</v>
      </c>
      <c r="C30" s="4" t="s">
        <v>71</v>
      </c>
      <c r="D30" s="4" t="s">
        <v>72</v>
      </c>
      <c r="E30" s="4" t="s">
        <v>73</v>
      </c>
      <c r="F30" s="11">
        <v>2</v>
      </c>
      <c r="G30" s="4" t="s">
        <v>74</v>
      </c>
      <c r="H30" s="4" t="s">
        <v>77</v>
      </c>
    </row>
    <row r="31" spans="1:8">
      <c r="A31" s="4" t="s">
        <v>78</v>
      </c>
      <c r="B31" s="4" t="s">
        <v>79</v>
      </c>
      <c r="C31" s="4" t="s">
        <v>80</v>
      </c>
      <c r="D31" s="4" t="s">
        <v>27</v>
      </c>
      <c r="E31" s="4" t="s">
        <v>60</v>
      </c>
      <c r="F31" s="11">
        <v>0.3</v>
      </c>
      <c r="G31" s="4" t="s">
        <v>61</v>
      </c>
      <c r="H31" s="4" t="s">
        <v>81</v>
      </c>
    </row>
    <row r="32" spans="1:8">
      <c r="A32" s="4" t="s">
        <v>82</v>
      </c>
      <c r="B32" s="4" t="s">
        <v>79</v>
      </c>
      <c r="C32" s="4" t="s">
        <v>80</v>
      </c>
      <c r="D32" s="4" t="s">
        <v>28</v>
      </c>
      <c r="E32" s="4" t="s">
        <v>60</v>
      </c>
      <c r="F32" s="11">
        <v>0.6</v>
      </c>
      <c r="G32" s="4" t="s">
        <v>61</v>
      </c>
      <c r="H32" s="4" t="s">
        <v>83</v>
      </c>
    </row>
    <row r="33" spans="1:8">
      <c r="A33" s="4" t="s">
        <v>84</v>
      </c>
      <c r="B33" s="4" t="s">
        <v>79</v>
      </c>
      <c r="C33" s="4" t="s">
        <v>80</v>
      </c>
      <c r="D33" s="4" t="s">
        <v>29</v>
      </c>
      <c r="E33" s="4" t="s">
        <v>60</v>
      </c>
      <c r="F33" s="11">
        <v>1.2</v>
      </c>
      <c r="G33" s="4" t="s">
        <v>61</v>
      </c>
      <c r="H33" s="4" t="s">
        <v>85</v>
      </c>
    </row>
    <row r="34" spans="1:8">
      <c r="A34" s="4" t="s">
        <v>86</v>
      </c>
      <c r="B34" s="4" t="s">
        <v>79</v>
      </c>
      <c r="C34" s="4" t="s">
        <v>87</v>
      </c>
      <c r="D34" s="4" t="s">
        <v>27</v>
      </c>
      <c r="E34" s="4" t="s">
        <v>60</v>
      </c>
      <c r="F34" s="11">
        <v>0.37471</v>
      </c>
      <c r="G34" s="4" t="s">
        <v>61</v>
      </c>
      <c r="H34" s="4" t="s">
        <v>88</v>
      </c>
    </row>
    <row r="35" spans="1:8">
      <c r="A35" s="4" t="s">
        <v>89</v>
      </c>
      <c r="B35" s="4" t="s">
        <v>79</v>
      </c>
      <c r="C35" s="4" t="s">
        <v>87</v>
      </c>
      <c r="D35" s="4" t="s">
        <v>28</v>
      </c>
      <c r="E35" s="4" t="s">
        <v>60</v>
      </c>
      <c r="F35" s="11">
        <v>0.74942</v>
      </c>
      <c r="G35" s="4" t="s">
        <v>61</v>
      </c>
      <c r="H35" s="4" t="s">
        <v>88</v>
      </c>
    </row>
    <row r="36" spans="1:8">
      <c r="A36" s="4" t="s">
        <v>90</v>
      </c>
      <c r="B36" s="4" t="s">
        <v>79</v>
      </c>
      <c r="C36" s="4" t="s">
        <v>87</v>
      </c>
      <c r="D36" s="4" t="s">
        <v>29</v>
      </c>
      <c r="E36" s="4" t="s">
        <v>60</v>
      </c>
      <c r="F36" s="11">
        <v>1.49884</v>
      </c>
      <c r="G36" s="4" t="s">
        <v>61</v>
      </c>
      <c r="H36" s="4" t="s">
        <v>88</v>
      </c>
    </row>
    <row r="38" spans="1:8">
      <c r="A38" s="12" t="s">
        <v>91</v>
      </c>
    </row>
    <row r="39" spans="1:8">
      <c r="A39" s="12" t="s">
        <v>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2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6.8"/>
  <cols>
    <col min="1" max="1" width="24" customWidth="1"/>
    <col min="2" max="2" width="12" customWidth="1"/>
    <col min="3" max="3" width="34" customWidth="1"/>
    <col min="4" max="5" width="10" customWidth="1"/>
    <col min="6" max="9" width="11" customWidth="1"/>
    <col min="10" max="10" width="13" customWidth="1"/>
    <col min="11" max="12" width="12" customWidth="1"/>
  </cols>
  <sheetData>
    <row r="1" ht="20.4" spans="1:12">
      <c r="A1" s="1" t="s">
        <v>93</v>
      </c>
    </row>
    <row r="3" spans="1:12">
      <c r="A3" s="2" t="s">
        <v>32</v>
      </c>
      <c r="B3" s="2" t="s">
        <v>33</v>
      </c>
      <c r="C3" s="2" t="s">
        <v>94</v>
      </c>
      <c r="D3" s="2" t="s">
        <v>23</v>
      </c>
      <c r="E3" s="2" t="s">
        <v>95</v>
      </c>
      <c r="F3" s="2" t="s">
        <v>96</v>
      </c>
      <c r="G3" s="2" t="s">
        <v>34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spans="1:12">
      <c r="A4" s="4" t="s">
        <v>39</v>
      </c>
      <c r="B4" s="4" t="s">
        <v>40</v>
      </c>
      <c r="C4" s="4" t="s">
        <v>102</v>
      </c>
      <c r="D4" s="4" t="s">
        <v>27</v>
      </c>
      <c r="E4" s="4">
        <v>5</v>
      </c>
      <c r="F4" s="5" t="s">
        <v>103</v>
      </c>
      <c r="G4" s="4" t="s">
        <v>41</v>
      </c>
      <c r="H4" s="5">
        <f>ROUNDUP(E4*VLOOKUP(D4,费率与参数!$A$10:$D$12,2,0)*VLOOKUP(D4,费率与参数!$A$10:$D$12,3,0)*VLOOKUP(D4,费率与参数!$A$10:$D$12,4,0)/1024,0)</f>
        <v>48038</v>
      </c>
      <c r="I4" s="6">
        <f>H4*VLOOKUP("seedance-2.5|Ark官方|480p",费率与参数!$A$16:$G$36,6,0)/1000000</f>
        <v>2.88228</v>
      </c>
      <c r="J4" s="5">
        <f>MAX(费率与参数!$B$4,CEILING(I4/费率与参数!$B$2,费率与参数!$B$3))</f>
        <v>289</v>
      </c>
      <c r="K4" s="8">
        <f>J4*费率与参数!$B$2</f>
        <v>2.89</v>
      </c>
      <c r="L4" s="9">
        <f t="shared" ref="L4:L67" si="0">IF(K4&gt;0,1-I4/K4,0)</f>
        <v>0.00267128027681662</v>
      </c>
    </row>
    <row r="5" spans="1:12">
      <c r="A5" s="4" t="s">
        <v>39</v>
      </c>
      <c r="B5" s="4" t="s">
        <v>40</v>
      </c>
      <c r="C5" s="4" t="s">
        <v>102</v>
      </c>
      <c r="D5" s="4" t="s">
        <v>27</v>
      </c>
      <c r="E5" s="4">
        <v>10</v>
      </c>
      <c r="F5" s="5" t="s">
        <v>103</v>
      </c>
      <c r="G5" s="4" t="s">
        <v>41</v>
      </c>
      <c r="H5" s="5">
        <f>ROUNDUP(E5*VLOOKUP(D5,费率与参数!$A$10:$D$12,2,0)*VLOOKUP(D5,费率与参数!$A$10:$D$12,3,0)*VLOOKUP(D5,费率与参数!$A$10:$D$12,4,0)/1024,0)</f>
        <v>96075</v>
      </c>
      <c r="I5" s="6">
        <f>H5*VLOOKUP("seedance-2.5|Ark官方|480p",费率与参数!$A$16:$G$36,6,0)/1000000</f>
        <v>5.7645</v>
      </c>
      <c r="J5" s="5">
        <f>MAX(费率与参数!$B$4,CEILING(I5/费率与参数!$B$2,费率与参数!$B$3))</f>
        <v>577</v>
      </c>
      <c r="K5" s="8">
        <f>J5*费率与参数!$B$2</f>
        <v>5.77</v>
      </c>
      <c r="L5" s="9">
        <f t="shared" si="0"/>
        <v>0.000953206239168169</v>
      </c>
    </row>
    <row r="6" spans="1:12">
      <c r="A6" s="4" t="s">
        <v>39</v>
      </c>
      <c r="B6" s="4" t="s">
        <v>40</v>
      </c>
      <c r="C6" s="4" t="s">
        <v>102</v>
      </c>
      <c r="D6" s="4" t="s">
        <v>28</v>
      </c>
      <c r="E6" s="4">
        <v>5</v>
      </c>
      <c r="F6" s="5" t="s">
        <v>103</v>
      </c>
      <c r="G6" s="4" t="s">
        <v>41</v>
      </c>
      <c r="H6" s="5">
        <f>ROUNDUP(E6*VLOOKUP(D6,费率与参数!$A$10:$D$12,2,0)*VLOOKUP(D6,费率与参数!$A$10:$D$12,3,0)*VLOOKUP(D6,费率与参数!$A$10:$D$12,4,0)/1024,0)</f>
        <v>108000</v>
      </c>
      <c r="I6" s="6">
        <f>H6*VLOOKUP("seedance-2.5|Ark官方|720p",费率与参数!$A$16:$G$36,6,0)/1000000</f>
        <v>9.72</v>
      </c>
      <c r="J6" s="5">
        <f>MAX(费率与参数!$B$4,CEILING(I6/费率与参数!$B$2,费率与参数!$B$3))</f>
        <v>972</v>
      </c>
      <c r="K6" s="8">
        <f>J6*费率与参数!$B$2</f>
        <v>9.72</v>
      </c>
      <c r="L6" s="9">
        <f t="shared" si="0"/>
        <v>0</v>
      </c>
    </row>
    <row r="7" spans="1:12">
      <c r="A7" s="4" t="s">
        <v>39</v>
      </c>
      <c r="B7" s="4" t="s">
        <v>40</v>
      </c>
      <c r="C7" s="4" t="s">
        <v>102</v>
      </c>
      <c r="D7" s="4" t="s">
        <v>28</v>
      </c>
      <c r="E7" s="4">
        <v>10</v>
      </c>
      <c r="F7" s="5" t="s">
        <v>103</v>
      </c>
      <c r="G7" s="4" t="s">
        <v>41</v>
      </c>
      <c r="H7" s="5">
        <f>ROUNDUP(E7*VLOOKUP(D7,费率与参数!$A$10:$D$12,2,0)*VLOOKUP(D7,费率与参数!$A$10:$D$12,3,0)*VLOOKUP(D7,费率与参数!$A$10:$D$12,4,0)/1024,0)</f>
        <v>216000</v>
      </c>
      <c r="I7" s="6">
        <f>H7*VLOOKUP("seedance-2.5|Ark官方|720p",费率与参数!$A$16:$G$36,6,0)/1000000</f>
        <v>19.44</v>
      </c>
      <c r="J7" s="5">
        <f>MAX(费率与参数!$B$4,CEILING(I7/费率与参数!$B$2,费率与参数!$B$3))</f>
        <v>1944</v>
      </c>
      <c r="K7" s="8">
        <f>J7*费率与参数!$B$2</f>
        <v>19.44</v>
      </c>
      <c r="L7" s="9">
        <f t="shared" si="0"/>
        <v>0</v>
      </c>
    </row>
    <row r="8" spans="1:12">
      <c r="A8" s="4" t="s">
        <v>39</v>
      </c>
      <c r="B8" s="4" t="s">
        <v>40</v>
      </c>
      <c r="C8" s="4" t="s">
        <v>102</v>
      </c>
      <c r="D8" s="4" t="s">
        <v>29</v>
      </c>
      <c r="E8" s="4">
        <v>5</v>
      </c>
      <c r="F8" s="5" t="s">
        <v>103</v>
      </c>
      <c r="G8" s="4" t="s">
        <v>41</v>
      </c>
      <c r="H8" s="5">
        <f>ROUNDUP(E8*VLOOKUP(D8,费率与参数!$A$10:$D$12,2,0)*VLOOKUP(D8,费率与参数!$A$10:$D$12,3,0)*VLOOKUP(D8,费率与参数!$A$10:$D$12,4,0)/1024,0)</f>
        <v>243000</v>
      </c>
      <c r="I8" s="6">
        <f>H8*VLOOKUP("seedance-2.5|Ark官方|1080p",费率与参数!$A$16:$G$36,6,0)/1000000</f>
        <v>36.45</v>
      </c>
      <c r="J8" s="5">
        <f>MAX(费率与参数!$B$4,CEILING(I8/费率与参数!$B$2,费率与参数!$B$3))</f>
        <v>3645</v>
      </c>
      <c r="K8" s="8">
        <f>J8*费率与参数!$B$2</f>
        <v>36.45</v>
      </c>
      <c r="L8" s="9">
        <f t="shared" si="0"/>
        <v>0</v>
      </c>
    </row>
    <row r="9" spans="1:12">
      <c r="A9" s="4" t="s">
        <v>39</v>
      </c>
      <c r="B9" s="4" t="s">
        <v>40</v>
      </c>
      <c r="C9" s="4" t="s">
        <v>102</v>
      </c>
      <c r="D9" s="4" t="s">
        <v>29</v>
      </c>
      <c r="E9" s="4">
        <v>10</v>
      </c>
      <c r="F9" s="5" t="s">
        <v>103</v>
      </c>
      <c r="G9" s="4" t="s">
        <v>41</v>
      </c>
      <c r="H9" s="5">
        <f>ROUNDUP(E9*VLOOKUP(D9,费率与参数!$A$10:$D$12,2,0)*VLOOKUP(D9,费率与参数!$A$10:$D$12,3,0)*VLOOKUP(D9,费率与参数!$A$10:$D$12,4,0)/1024,0)</f>
        <v>486000</v>
      </c>
      <c r="I9" s="6">
        <f>H9*VLOOKUP("seedance-2.5|Ark官方|1080p",费率与参数!$A$16:$G$36,6,0)/1000000</f>
        <v>72.9</v>
      </c>
      <c r="J9" s="5">
        <f>MAX(费率与参数!$B$4,CEILING(I9/费率与参数!$B$2,费率与参数!$B$3))</f>
        <v>7290</v>
      </c>
      <c r="K9" s="8">
        <f>J9*费率与参数!$B$2</f>
        <v>72.9</v>
      </c>
      <c r="L9" s="9">
        <f t="shared" si="0"/>
        <v>0</v>
      </c>
    </row>
    <row r="10" spans="1:12">
      <c r="A10" s="4" t="s">
        <v>39</v>
      </c>
      <c r="B10" s="4" t="s">
        <v>71</v>
      </c>
      <c r="C10" s="4" t="s">
        <v>102</v>
      </c>
      <c r="D10" s="4" t="s">
        <v>27</v>
      </c>
      <c r="E10" s="4" t="s">
        <v>72</v>
      </c>
      <c r="F10" s="5" t="s">
        <v>103</v>
      </c>
      <c r="G10" s="4" t="s">
        <v>104</v>
      </c>
      <c r="H10" s="5" t="s">
        <v>103</v>
      </c>
      <c r="I10" s="6">
        <f>VLOOKUP("seedance-2.5|GASIC中转|任意",费率与参数!$A$16:$G$36,6,0)</f>
        <v>2</v>
      </c>
      <c r="J10" s="5">
        <f>MAX(费率与参数!$B$4,CEILING(I10/费率与参数!$B$2,费率与参数!$B$3))</f>
        <v>200</v>
      </c>
      <c r="K10" s="8">
        <f>J10*费率与参数!$B$2</f>
        <v>2</v>
      </c>
      <c r="L10" s="9">
        <f t="shared" si="0"/>
        <v>0</v>
      </c>
    </row>
    <row r="11" spans="1:12">
      <c r="A11" s="4" t="s">
        <v>39</v>
      </c>
      <c r="B11" s="4" t="s">
        <v>71</v>
      </c>
      <c r="C11" s="4" t="s">
        <v>102</v>
      </c>
      <c r="D11" s="4" t="s">
        <v>27</v>
      </c>
      <c r="E11" s="4" t="s">
        <v>72</v>
      </c>
      <c r="F11" s="5" t="s">
        <v>103</v>
      </c>
      <c r="G11" s="4" t="s">
        <v>104</v>
      </c>
      <c r="H11" s="5" t="s">
        <v>103</v>
      </c>
      <c r="I11" s="6">
        <f>VLOOKUP("seedance-2.5|GASIC中转|任意",费率与参数!$A$16:$G$36,6,0)</f>
        <v>2</v>
      </c>
      <c r="J11" s="5">
        <f>MAX(费率与参数!$B$4,CEILING(I11/费率与参数!$B$2,费率与参数!$B$3))</f>
        <v>200</v>
      </c>
      <c r="K11" s="8">
        <f>J11*费率与参数!$B$2</f>
        <v>2</v>
      </c>
      <c r="L11" s="9">
        <f t="shared" si="0"/>
        <v>0</v>
      </c>
    </row>
    <row r="12" spans="1:12">
      <c r="A12" s="4" t="s">
        <v>39</v>
      </c>
      <c r="B12" s="4" t="s">
        <v>71</v>
      </c>
      <c r="C12" s="4" t="s">
        <v>102</v>
      </c>
      <c r="D12" s="4" t="s">
        <v>27</v>
      </c>
      <c r="E12" s="4" t="s">
        <v>72</v>
      </c>
      <c r="F12" s="5" t="s">
        <v>103</v>
      </c>
      <c r="G12" s="4" t="s">
        <v>104</v>
      </c>
      <c r="H12" s="5" t="s">
        <v>103</v>
      </c>
      <c r="I12" s="6">
        <f>VLOOKUP("seedance-2.5|GASIC中转|任意",费率与参数!$A$16:$G$36,6,0)</f>
        <v>2</v>
      </c>
      <c r="J12" s="5">
        <f>MAX(费率与参数!$B$4,CEILING(I12/费率与参数!$B$2,费率与参数!$B$3))</f>
        <v>200</v>
      </c>
      <c r="K12" s="8">
        <f>J12*费率与参数!$B$2</f>
        <v>2</v>
      </c>
      <c r="L12" s="9">
        <f t="shared" si="0"/>
        <v>0</v>
      </c>
    </row>
    <row r="13" spans="1:12">
      <c r="A13" s="4" t="s">
        <v>39</v>
      </c>
      <c r="B13" s="4" t="s">
        <v>71</v>
      </c>
      <c r="C13" s="4" t="s">
        <v>102</v>
      </c>
      <c r="D13" s="4" t="s">
        <v>28</v>
      </c>
      <c r="E13" s="4" t="s">
        <v>72</v>
      </c>
      <c r="F13" s="5" t="s">
        <v>103</v>
      </c>
      <c r="G13" s="4" t="s">
        <v>104</v>
      </c>
      <c r="H13" s="5" t="s">
        <v>103</v>
      </c>
      <c r="I13" s="6">
        <f>VLOOKUP("seedance-2.5|GASIC中转|任意",费率与参数!$A$16:$G$36,6,0)</f>
        <v>2</v>
      </c>
      <c r="J13" s="5">
        <f>MAX(费率与参数!$B$4,CEILING(I13/费率与参数!$B$2,费率与参数!$B$3))</f>
        <v>200</v>
      </c>
      <c r="K13" s="8">
        <f>J13*费率与参数!$B$2</f>
        <v>2</v>
      </c>
      <c r="L13" s="9">
        <f t="shared" si="0"/>
        <v>0</v>
      </c>
    </row>
    <row r="14" spans="1:12">
      <c r="A14" s="4" t="s">
        <v>39</v>
      </c>
      <c r="B14" s="4" t="s">
        <v>71</v>
      </c>
      <c r="C14" s="4" t="s">
        <v>102</v>
      </c>
      <c r="D14" s="4" t="s">
        <v>28</v>
      </c>
      <c r="E14" s="4" t="s">
        <v>72</v>
      </c>
      <c r="F14" s="5" t="s">
        <v>103</v>
      </c>
      <c r="G14" s="4" t="s">
        <v>104</v>
      </c>
      <c r="H14" s="5" t="s">
        <v>103</v>
      </c>
      <c r="I14" s="6">
        <f>VLOOKUP("seedance-2.5|GASIC中转|任意",费率与参数!$A$16:$G$36,6,0)</f>
        <v>2</v>
      </c>
      <c r="J14" s="5">
        <f>MAX(费率与参数!$B$4,CEILING(I14/费率与参数!$B$2,费率与参数!$B$3))</f>
        <v>200</v>
      </c>
      <c r="K14" s="8">
        <f>J14*费率与参数!$B$2</f>
        <v>2</v>
      </c>
      <c r="L14" s="9">
        <f t="shared" si="0"/>
        <v>0</v>
      </c>
    </row>
    <row r="15" spans="1:12">
      <c r="A15" s="4" t="s">
        <v>39</v>
      </c>
      <c r="B15" s="4" t="s">
        <v>71</v>
      </c>
      <c r="C15" s="4" t="s">
        <v>102</v>
      </c>
      <c r="D15" s="4" t="s">
        <v>28</v>
      </c>
      <c r="E15" s="4" t="s">
        <v>72</v>
      </c>
      <c r="F15" s="5" t="s">
        <v>103</v>
      </c>
      <c r="G15" s="4" t="s">
        <v>104</v>
      </c>
      <c r="H15" s="5" t="s">
        <v>103</v>
      </c>
      <c r="I15" s="6">
        <f>VLOOKUP("seedance-2.5|GASIC中转|任意",费率与参数!$A$16:$G$36,6,0)</f>
        <v>2</v>
      </c>
      <c r="J15" s="5">
        <f>MAX(费率与参数!$B$4,CEILING(I15/费率与参数!$B$2,费率与参数!$B$3))</f>
        <v>200</v>
      </c>
      <c r="K15" s="8">
        <f>J15*费率与参数!$B$2</f>
        <v>2</v>
      </c>
      <c r="L15" s="9">
        <f t="shared" si="0"/>
        <v>0</v>
      </c>
    </row>
    <row r="16" spans="1:12">
      <c r="A16" s="4" t="s">
        <v>39</v>
      </c>
      <c r="B16" s="4" t="s">
        <v>71</v>
      </c>
      <c r="C16" s="4" t="s">
        <v>102</v>
      </c>
      <c r="D16" s="4" t="s">
        <v>29</v>
      </c>
      <c r="E16" s="4" t="s">
        <v>72</v>
      </c>
      <c r="F16" s="5" t="s">
        <v>103</v>
      </c>
      <c r="G16" s="4" t="s">
        <v>104</v>
      </c>
      <c r="H16" s="5" t="s">
        <v>103</v>
      </c>
      <c r="I16" s="6">
        <f>VLOOKUP("seedance-2.5|GASIC中转|任意",费率与参数!$A$16:$G$36,6,0)</f>
        <v>2</v>
      </c>
      <c r="J16" s="5">
        <f>MAX(费率与参数!$B$4,CEILING(I16/费率与参数!$B$2,费率与参数!$B$3))</f>
        <v>200</v>
      </c>
      <c r="K16" s="8">
        <f>J16*费率与参数!$B$2</f>
        <v>2</v>
      </c>
      <c r="L16" s="9">
        <f t="shared" si="0"/>
        <v>0</v>
      </c>
    </row>
    <row r="17" spans="1:12">
      <c r="A17" s="4" t="s">
        <v>39</v>
      </c>
      <c r="B17" s="4" t="s">
        <v>71</v>
      </c>
      <c r="C17" s="4" t="s">
        <v>102</v>
      </c>
      <c r="D17" s="4" t="s">
        <v>29</v>
      </c>
      <c r="E17" s="4" t="s">
        <v>72</v>
      </c>
      <c r="F17" s="5" t="s">
        <v>103</v>
      </c>
      <c r="G17" s="4" t="s">
        <v>104</v>
      </c>
      <c r="H17" s="5" t="s">
        <v>103</v>
      </c>
      <c r="I17" s="6">
        <f>VLOOKUP("seedance-2.5|GASIC中转|任意",费率与参数!$A$16:$G$36,6,0)</f>
        <v>2</v>
      </c>
      <c r="J17" s="5">
        <f>MAX(费率与参数!$B$4,CEILING(I17/费率与参数!$B$2,费率与参数!$B$3))</f>
        <v>200</v>
      </c>
      <c r="K17" s="8">
        <f>J17*费率与参数!$B$2</f>
        <v>2</v>
      </c>
      <c r="L17" s="9">
        <f t="shared" si="0"/>
        <v>0</v>
      </c>
    </row>
    <row r="18" spans="1:12">
      <c r="A18" s="4" t="s">
        <v>39</v>
      </c>
      <c r="B18" s="4" t="s">
        <v>71</v>
      </c>
      <c r="C18" s="4" t="s">
        <v>102</v>
      </c>
      <c r="D18" s="4" t="s">
        <v>29</v>
      </c>
      <c r="E18" s="4" t="s">
        <v>72</v>
      </c>
      <c r="F18" s="5" t="s">
        <v>103</v>
      </c>
      <c r="G18" s="4" t="s">
        <v>104</v>
      </c>
      <c r="H18" s="5" t="s">
        <v>103</v>
      </c>
      <c r="I18" s="6">
        <f>VLOOKUP("seedance-2.5|GASIC中转|任意",费率与参数!$A$16:$G$36,6,0)</f>
        <v>2</v>
      </c>
      <c r="J18" s="5">
        <f>MAX(费率与参数!$B$4,CEILING(I18/费率与参数!$B$2,费率与参数!$B$3))</f>
        <v>200</v>
      </c>
      <c r="K18" s="8">
        <f>J18*费率与参数!$B$2</f>
        <v>2</v>
      </c>
      <c r="L18" s="9">
        <f t="shared" si="0"/>
        <v>0</v>
      </c>
    </row>
    <row r="19" spans="1:12">
      <c r="A19" s="4" t="s">
        <v>47</v>
      </c>
      <c r="B19" s="4" t="s">
        <v>40</v>
      </c>
      <c r="C19" s="4" t="s">
        <v>105</v>
      </c>
      <c r="D19" s="4" t="s">
        <v>27</v>
      </c>
      <c r="E19" s="4">
        <v>5</v>
      </c>
      <c r="F19" s="5" t="s">
        <v>103</v>
      </c>
      <c r="G19" s="4" t="s">
        <v>41</v>
      </c>
      <c r="H19" s="5">
        <f>ROUNDUP(E19*VLOOKUP(D19,费率与参数!$A$10:$D$12,2,0)*VLOOKUP(D19,费率与参数!$A$10:$D$12,3,0)*VLOOKUP(D19,费率与参数!$A$10:$D$12,4,0)/1024,0)</f>
        <v>48038</v>
      </c>
      <c r="I19" s="6">
        <f>H19*VLOOKUP("seedance-2.0|Ark官方|480p",费率与参数!$A$16:$G$36,6,0)/1000000</f>
        <v>1.44114</v>
      </c>
      <c r="J19" s="5">
        <f>MAX(费率与参数!$B$4,CEILING(I19/费率与参数!$B$2,费率与参数!$B$3))</f>
        <v>145</v>
      </c>
      <c r="K19" s="8">
        <f>J19*费率与参数!$B$2</f>
        <v>1.45</v>
      </c>
      <c r="L19" s="9">
        <f t="shared" si="0"/>
        <v>0.0061103448275861</v>
      </c>
    </row>
    <row r="20" spans="1:12">
      <c r="A20" s="4" t="s">
        <v>47</v>
      </c>
      <c r="B20" s="4" t="s">
        <v>40</v>
      </c>
      <c r="C20" s="4" t="s">
        <v>105</v>
      </c>
      <c r="D20" s="4" t="s">
        <v>27</v>
      </c>
      <c r="E20" s="4">
        <v>10</v>
      </c>
      <c r="F20" s="5" t="s">
        <v>103</v>
      </c>
      <c r="G20" s="4" t="s">
        <v>41</v>
      </c>
      <c r="H20" s="5">
        <f>ROUNDUP(E20*VLOOKUP(D20,费率与参数!$A$10:$D$12,2,0)*VLOOKUP(D20,费率与参数!$A$10:$D$12,3,0)*VLOOKUP(D20,费率与参数!$A$10:$D$12,4,0)/1024,0)</f>
        <v>96075</v>
      </c>
      <c r="I20" s="6">
        <f>H20*VLOOKUP("seedance-2.0|Ark官方|480p",费率与参数!$A$16:$G$36,6,0)/1000000</f>
        <v>2.88225</v>
      </c>
      <c r="J20" s="5">
        <f>MAX(费率与参数!$B$4,CEILING(I20/费率与参数!$B$2,费率与参数!$B$3))</f>
        <v>289</v>
      </c>
      <c r="K20" s="8">
        <f>J20*费率与参数!$B$2</f>
        <v>2.89</v>
      </c>
      <c r="L20" s="9">
        <f t="shared" si="0"/>
        <v>0.00268166089965405</v>
      </c>
    </row>
    <row r="21" spans="1:12">
      <c r="A21" s="4" t="s">
        <v>47</v>
      </c>
      <c r="B21" s="4" t="s">
        <v>40</v>
      </c>
      <c r="C21" s="4" t="s">
        <v>105</v>
      </c>
      <c r="D21" s="4" t="s">
        <v>28</v>
      </c>
      <c r="E21" s="4">
        <v>5</v>
      </c>
      <c r="F21" s="5" t="s">
        <v>103</v>
      </c>
      <c r="G21" s="4" t="s">
        <v>41</v>
      </c>
      <c r="H21" s="5">
        <f>ROUNDUP(E21*VLOOKUP(D21,费率与参数!$A$10:$D$12,2,0)*VLOOKUP(D21,费率与参数!$A$10:$D$12,3,0)*VLOOKUP(D21,费率与参数!$A$10:$D$12,4,0)/1024,0)</f>
        <v>108000</v>
      </c>
      <c r="I21" s="6">
        <f>H21*VLOOKUP("seedance-2.0|Ark官方|720p",费率与参数!$A$16:$G$36,6,0)/1000000</f>
        <v>4.86</v>
      </c>
      <c r="J21" s="5">
        <f>MAX(费率与参数!$B$4,CEILING(I21/费率与参数!$B$2,费率与参数!$B$3))</f>
        <v>486</v>
      </c>
      <c r="K21" s="8">
        <f>J21*费率与参数!$B$2</f>
        <v>4.86</v>
      </c>
      <c r="L21" s="9">
        <f t="shared" si="0"/>
        <v>0</v>
      </c>
    </row>
    <row r="22" spans="1:12">
      <c r="A22" s="4" t="s">
        <v>47</v>
      </c>
      <c r="B22" s="4" t="s">
        <v>40</v>
      </c>
      <c r="C22" s="4" t="s">
        <v>105</v>
      </c>
      <c r="D22" s="4" t="s">
        <v>28</v>
      </c>
      <c r="E22" s="4">
        <v>10</v>
      </c>
      <c r="F22" s="5" t="s">
        <v>103</v>
      </c>
      <c r="G22" s="4" t="s">
        <v>41</v>
      </c>
      <c r="H22" s="5">
        <f>ROUNDUP(E22*VLOOKUP(D22,费率与参数!$A$10:$D$12,2,0)*VLOOKUP(D22,费率与参数!$A$10:$D$12,3,0)*VLOOKUP(D22,费率与参数!$A$10:$D$12,4,0)/1024,0)</f>
        <v>216000</v>
      </c>
      <c r="I22" s="6">
        <f>H22*VLOOKUP("seedance-2.0|Ark官方|720p",费率与参数!$A$16:$G$36,6,0)/1000000</f>
        <v>9.72</v>
      </c>
      <c r="J22" s="5">
        <f>MAX(费率与参数!$B$4,CEILING(I22/费率与参数!$B$2,费率与参数!$B$3))</f>
        <v>972</v>
      </c>
      <c r="K22" s="8">
        <f>J22*费率与参数!$B$2</f>
        <v>9.72</v>
      </c>
      <c r="L22" s="9">
        <f t="shared" si="0"/>
        <v>0</v>
      </c>
    </row>
    <row r="23" spans="1:12">
      <c r="A23" s="4" t="s">
        <v>47</v>
      </c>
      <c r="B23" s="4" t="s">
        <v>40</v>
      </c>
      <c r="C23" s="4" t="s">
        <v>105</v>
      </c>
      <c r="D23" s="4" t="s">
        <v>29</v>
      </c>
      <c r="E23" s="4">
        <v>5</v>
      </c>
      <c r="F23" s="5" t="s">
        <v>103</v>
      </c>
      <c r="G23" s="4" t="s">
        <v>41</v>
      </c>
      <c r="H23" s="5">
        <f>ROUNDUP(E23*VLOOKUP(D23,费率与参数!$A$10:$D$12,2,0)*VLOOKUP(D23,费率与参数!$A$10:$D$12,3,0)*VLOOKUP(D23,费率与参数!$A$10:$D$12,4,0)/1024,0)</f>
        <v>243000</v>
      </c>
      <c r="I23" s="6">
        <f>H23*VLOOKUP("seedance-2.0|Ark官方|1080p",费率与参数!$A$16:$G$36,6,0)/1000000</f>
        <v>18.225</v>
      </c>
      <c r="J23" s="5">
        <f>MAX(费率与参数!$B$4,CEILING(I23/费率与参数!$B$2,费率与参数!$B$3))</f>
        <v>1823</v>
      </c>
      <c r="K23" s="8">
        <f>J23*费率与参数!$B$2</f>
        <v>18.23</v>
      </c>
      <c r="L23" s="9">
        <f t="shared" si="0"/>
        <v>0.000274273176083306</v>
      </c>
    </row>
    <row r="24" spans="1:12">
      <c r="A24" s="4" t="s">
        <v>47</v>
      </c>
      <c r="B24" s="4" t="s">
        <v>40</v>
      </c>
      <c r="C24" s="4" t="s">
        <v>105</v>
      </c>
      <c r="D24" s="4" t="s">
        <v>29</v>
      </c>
      <c r="E24" s="4">
        <v>10</v>
      </c>
      <c r="F24" s="5" t="s">
        <v>103</v>
      </c>
      <c r="G24" s="4" t="s">
        <v>41</v>
      </c>
      <c r="H24" s="5">
        <f>ROUNDUP(E24*VLOOKUP(D24,费率与参数!$A$10:$D$12,2,0)*VLOOKUP(D24,费率与参数!$A$10:$D$12,3,0)*VLOOKUP(D24,费率与参数!$A$10:$D$12,4,0)/1024,0)</f>
        <v>486000</v>
      </c>
      <c r="I24" s="6">
        <f>H24*VLOOKUP("seedance-2.0|Ark官方|1080p",费率与参数!$A$16:$G$36,6,0)/1000000</f>
        <v>36.45</v>
      </c>
      <c r="J24" s="5">
        <f>MAX(费率与参数!$B$4,CEILING(I24/费率与参数!$B$2,费率与参数!$B$3))</f>
        <v>3645</v>
      </c>
      <c r="K24" s="8">
        <f>J24*费率与参数!$B$2</f>
        <v>36.45</v>
      </c>
      <c r="L24" s="9">
        <f t="shared" si="0"/>
        <v>0</v>
      </c>
    </row>
    <row r="25" spans="1:12">
      <c r="A25" s="4" t="s">
        <v>47</v>
      </c>
      <c r="B25" s="4" t="s">
        <v>71</v>
      </c>
      <c r="C25" s="4" t="s">
        <v>105</v>
      </c>
      <c r="D25" s="4" t="s">
        <v>27</v>
      </c>
      <c r="E25" s="4" t="s">
        <v>72</v>
      </c>
      <c r="F25" s="5" t="s">
        <v>103</v>
      </c>
      <c r="G25" s="4" t="s">
        <v>104</v>
      </c>
      <c r="H25" s="5" t="s">
        <v>103</v>
      </c>
      <c r="I25" s="6">
        <f>VLOOKUP("seedance-2.0|GASIC中转|任意",费率与参数!$A$16:$G$36,6,0)</f>
        <v>2</v>
      </c>
      <c r="J25" s="5">
        <f>MAX(费率与参数!$B$4,CEILING(I25/费率与参数!$B$2,费率与参数!$B$3))</f>
        <v>200</v>
      </c>
      <c r="K25" s="8">
        <f>J25*费率与参数!$B$2</f>
        <v>2</v>
      </c>
      <c r="L25" s="9">
        <f t="shared" si="0"/>
        <v>0</v>
      </c>
    </row>
    <row r="26" spans="1:12">
      <c r="A26" s="4" t="s">
        <v>47</v>
      </c>
      <c r="B26" s="4" t="s">
        <v>71</v>
      </c>
      <c r="C26" s="4" t="s">
        <v>105</v>
      </c>
      <c r="D26" s="4" t="s">
        <v>27</v>
      </c>
      <c r="E26" s="4" t="s">
        <v>72</v>
      </c>
      <c r="F26" s="5" t="s">
        <v>103</v>
      </c>
      <c r="G26" s="4" t="s">
        <v>104</v>
      </c>
      <c r="H26" s="5" t="s">
        <v>103</v>
      </c>
      <c r="I26" s="6">
        <f>VLOOKUP("seedance-2.0|GASIC中转|任意",费率与参数!$A$16:$G$36,6,0)</f>
        <v>2</v>
      </c>
      <c r="J26" s="5">
        <f>MAX(费率与参数!$B$4,CEILING(I26/费率与参数!$B$2,费率与参数!$B$3))</f>
        <v>200</v>
      </c>
      <c r="K26" s="8">
        <f>J26*费率与参数!$B$2</f>
        <v>2</v>
      </c>
      <c r="L26" s="9">
        <f t="shared" si="0"/>
        <v>0</v>
      </c>
    </row>
    <row r="27" spans="1:12">
      <c r="A27" s="4" t="s">
        <v>47</v>
      </c>
      <c r="B27" s="4" t="s">
        <v>71</v>
      </c>
      <c r="C27" s="4" t="s">
        <v>105</v>
      </c>
      <c r="D27" s="4" t="s">
        <v>28</v>
      </c>
      <c r="E27" s="4" t="s">
        <v>72</v>
      </c>
      <c r="F27" s="5" t="s">
        <v>103</v>
      </c>
      <c r="G27" s="4" t="s">
        <v>104</v>
      </c>
      <c r="H27" s="5" t="s">
        <v>103</v>
      </c>
      <c r="I27" s="6">
        <f>VLOOKUP("seedance-2.0|GASIC中转|任意",费率与参数!$A$16:$G$36,6,0)</f>
        <v>2</v>
      </c>
      <c r="J27" s="5">
        <f>MAX(费率与参数!$B$4,CEILING(I27/费率与参数!$B$2,费率与参数!$B$3))</f>
        <v>200</v>
      </c>
      <c r="K27" s="8">
        <f>J27*费率与参数!$B$2</f>
        <v>2</v>
      </c>
      <c r="L27" s="9">
        <f t="shared" si="0"/>
        <v>0</v>
      </c>
    </row>
    <row r="28" spans="1:12">
      <c r="A28" s="4" t="s">
        <v>47</v>
      </c>
      <c r="B28" s="4" t="s">
        <v>71</v>
      </c>
      <c r="C28" s="4" t="s">
        <v>105</v>
      </c>
      <c r="D28" s="4" t="s">
        <v>28</v>
      </c>
      <c r="E28" s="4" t="s">
        <v>72</v>
      </c>
      <c r="F28" s="5" t="s">
        <v>103</v>
      </c>
      <c r="G28" s="4" t="s">
        <v>104</v>
      </c>
      <c r="H28" s="5" t="s">
        <v>103</v>
      </c>
      <c r="I28" s="6">
        <f>VLOOKUP("seedance-2.0|GASIC中转|任意",费率与参数!$A$16:$G$36,6,0)</f>
        <v>2</v>
      </c>
      <c r="J28" s="5">
        <f>MAX(费率与参数!$B$4,CEILING(I28/费率与参数!$B$2,费率与参数!$B$3))</f>
        <v>200</v>
      </c>
      <c r="K28" s="8">
        <f>J28*费率与参数!$B$2</f>
        <v>2</v>
      </c>
      <c r="L28" s="9">
        <f t="shared" si="0"/>
        <v>0</v>
      </c>
    </row>
    <row r="29" spans="1:12">
      <c r="A29" s="4" t="s">
        <v>47</v>
      </c>
      <c r="B29" s="4" t="s">
        <v>71</v>
      </c>
      <c r="C29" s="4" t="s">
        <v>105</v>
      </c>
      <c r="D29" s="4" t="s">
        <v>29</v>
      </c>
      <c r="E29" s="4" t="s">
        <v>72</v>
      </c>
      <c r="F29" s="5" t="s">
        <v>103</v>
      </c>
      <c r="G29" s="4" t="s">
        <v>104</v>
      </c>
      <c r="H29" s="5" t="s">
        <v>103</v>
      </c>
      <c r="I29" s="6">
        <f>VLOOKUP("seedance-2.0|GASIC中转|任意",费率与参数!$A$16:$G$36,6,0)</f>
        <v>2</v>
      </c>
      <c r="J29" s="5">
        <f>MAX(费率与参数!$B$4,CEILING(I29/费率与参数!$B$2,费率与参数!$B$3))</f>
        <v>200</v>
      </c>
      <c r="K29" s="8">
        <f>J29*费率与参数!$B$2</f>
        <v>2</v>
      </c>
      <c r="L29" s="9">
        <f t="shared" si="0"/>
        <v>0</v>
      </c>
    </row>
    <row r="30" spans="1:12">
      <c r="A30" s="4" t="s">
        <v>47</v>
      </c>
      <c r="B30" s="4" t="s">
        <v>71</v>
      </c>
      <c r="C30" s="4" t="s">
        <v>105</v>
      </c>
      <c r="D30" s="4" t="s">
        <v>29</v>
      </c>
      <c r="E30" s="4" t="s">
        <v>72</v>
      </c>
      <c r="F30" s="5" t="s">
        <v>103</v>
      </c>
      <c r="G30" s="4" t="s">
        <v>104</v>
      </c>
      <c r="H30" s="5" t="s">
        <v>103</v>
      </c>
      <c r="I30" s="6">
        <f>VLOOKUP("seedance-2.0|GASIC中转|任意",费率与参数!$A$16:$G$36,6,0)</f>
        <v>2</v>
      </c>
      <c r="J30" s="5">
        <f>MAX(费率与参数!$B$4,CEILING(I30/费率与参数!$B$2,费率与参数!$B$3))</f>
        <v>200</v>
      </c>
      <c r="K30" s="8">
        <f>J30*费率与参数!$B$2</f>
        <v>2</v>
      </c>
      <c r="L30" s="9">
        <f t="shared" si="0"/>
        <v>0</v>
      </c>
    </row>
    <row r="31" spans="1:12">
      <c r="A31" s="4" t="s">
        <v>51</v>
      </c>
      <c r="B31" s="4" t="s">
        <v>40</v>
      </c>
      <c r="C31" s="4" t="s">
        <v>106</v>
      </c>
      <c r="D31" s="4" t="s">
        <v>27</v>
      </c>
      <c r="E31" s="4">
        <v>4</v>
      </c>
      <c r="F31" s="5" t="s">
        <v>103</v>
      </c>
      <c r="G31" s="4" t="s">
        <v>41</v>
      </c>
      <c r="H31" s="5">
        <f>ROUNDUP(E31*VLOOKUP(D31,费率与参数!$A$10:$D$12,2,0)*VLOOKUP(D31,费率与参数!$A$10:$D$12,3,0)*VLOOKUP(D31,费率与参数!$A$10:$D$12,4,0)/1024,0)</f>
        <v>38430</v>
      </c>
      <c r="I31" s="6">
        <f>H31*VLOOKUP("seedance-2.0-mini|Ark官方|480p",费率与参数!$A$16:$G$36,6,0)/1000000</f>
        <v>0.46116</v>
      </c>
      <c r="J31" s="5">
        <f>MAX(费率与参数!$B$4,CEILING(I31/费率与参数!$B$2,费率与参数!$B$3))</f>
        <v>47</v>
      </c>
      <c r="K31" s="8">
        <f>J31*费率与参数!$B$2</f>
        <v>0.47</v>
      </c>
      <c r="L31" s="9">
        <f t="shared" si="0"/>
        <v>0.0188085106382979</v>
      </c>
    </row>
    <row r="32" spans="1:12">
      <c r="A32" s="4" t="s">
        <v>51</v>
      </c>
      <c r="B32" s="4" t="s">
        <v>40</v>
      </c>
      <c r="C32" s="4" t="s">
        <v>106</v>
      </c>
      <c r="D32" s="4" t="s">
        <v>27</v>
      </c>
      <c r="E32" s="4">
        <v>5</v>
      </c>
      <c r="F32" s="5" t="s">
        <v>103</v>
      </c>
      <c r="G32" s="4" t="s">
        <v>41</v>
      </c>
      <c r="H32" s="5">
        <f>ROUNDUP(E32*VLOOKUP(D32,费率与参数!$A$10:$D$12,2,0)*VLOOKUP(D32,费率与参数!$A$10:$D$12,3,0)*VLOOKUP(D32,费率与参数!$A$10:$D$12,4,0)/1024,0)</f>
        <v>48038</v>
      </c>
      <c r="I32" s="6">
        <f>H32*VLOOKUP("seedance-2.0-mini|Ark官方|480p",费率与参数!$A$16:$G$36,6,0)/1000000</f>
        <v>0.576456</v>
      </c>
      <c r="J32" s="5">
        <f>MAX(费率与参数!$B$4,CEILING(I32/费率与参数!$B$2,费率与参数!$B$3))</f>
        <v>58</v>
      </c>
      <c r="K32" s="8">
        <f>J32*费率与参数!$B$2</f>
        <v>0.58</v>
      </c>
      <c r="L32" s="9">
        <f t="shared" si="0"/>
        <v>0.00611034482758621</v>
      </c>
    </row>
    <row r="33" spans="1:12">
      <c r="A33" s="4" t="s">
        <v>51</v>
      </c>
      <c r="B33" s="4" t="s">
        <v>40</v>
      </c>
      <c r="C33" s="4" t="s">
        <v>106</v>
      </c>
      <c r="D33" s="4" t="s">
        <v>27</v>
      </c>
      <c r="E33" s="4">
        <v>6</v>
      </c>
      <c r="F33" s="5" t="s">
        <v>103</v>
      </c>
      <c r="G33" s="4" t="s">
        <v>41</v>
      </c>
      <c r="H33" s="5">
        <f>ROUNDUP(E33*VLOOKUP(D33,费率与参数!$A$10:$D$12,2,0)*VLOOKUP(D33,费率与参数!$A$10:$D$12,3,0)*VLOOKUP(D33,费率与参数!$A$10:$D$12,4,0)/1024,0)</f>
        <v>57645</v>
      </c>
      <c r="I33" s="6">
        <f>H33*VLOOKUP("seedance-2.0-mini|Ark官方|480p",费率与参数!$A$16:$G$36,6,0)/1000000</f>
        <v>0.69174</v>
      </c>
      <c r="J33" s="5">
        <f>MAX(费率与参数!$B$4,CEILING(I33/费率与参数!$B$2,费率与参数!$B$3))</f>
        <v>70</v>
      </c>
      <c r="K33" s="8">
        <f>J33*费率与参数!$B$2</f>
        <v>0.7</v>
      </c>
      <c r="L33" s="9">
        <f t="shared" si="0"/>
        <v>0.0118</v>
      </c>
    </row>
    <row r="34" spans="1:12">
      <c r="A34" s="4" t="s">
        <v>51</v>
      </c>
      <c r="B34" s="4" t="s">
        <v>40</v>
      </c>
      <c r="C34" s="4" t="s">
        <v>106</v>
      </c>
      <c r="D34" s="4" t="s">
        <v>27</v>
      </c>
      <c r="E34" s="4">
        <v>7</v>
      </c>
      <c r="F34" s="5" t="s">
        <v>103</v>
      </c>
      <c r="G34" s="4" t="s">
        <v>41</v>
      </c>
      <c r="H34" s="5">
        <f>ROUNDUP(E34*VLOOKUP(D34,费率与参数!$A$10:$D$12,2,0)*VLOOKUP(D34,费率与参数!$A$10:$D$12,3,0)*VLOOKUP(D34,费率与参数!$A$10:$D$12,4,0)/1024,0)</f>
        <v>67253</v>
      </c>
      <c r="I34" s="6">
        <f>H34*VLOOKUP("seedance-2.0-mini|Ark官方|480p",费率与参数!$A$16:$G$36,6,0)/1000000</f>
        <v>0.807036</v>
      </c>
      <c r="J34" s="5">
        <f>MAX(费率与参数!$B$4,CEILING(I34/费率与参数!$B$2,费率与参数!$B$3))</f>
        <v>81</v>
      </c>
      <c r="K34" s="8">
        <f>J34*费率与参数!$B$2</f>
        <v>0.81</v>
      </c>
      <c r="L34" s="9">
        <f t="shared" si="0"/>
        <v>0.00365925925925936</v>
      </c>
    </row>
    <row r="35" spans="1:12">
      <c r="A35" s="4" t="s">
        <v>51</v>
      </c>
      <c r="B35" s="4" t="s">
        <v>40</v>
      </c>
      <c r="C35" s="4" t="s">
        <v>106</v>
      </c>
      <c r="D35" s="4" t="s">
        <v>27</v>
      </c>
      <c r="E35" s="4">
        <v>8</v>
      </c>
      <c r="F35" s="5" t="s">
        <v>103</v>
      </c>
      <c r="G35" s="4" t="s">
        <v>41</v>
      </c>
      <c r="H35" s="5">
        <f>ROUNDUP(E35*VLOOKUP(D35,费率与参数!$A$10:$D$12,2,0)*VLOOKUP(D35,费率与参数!$A$10:$D$12,3,0)*VLOOKUP(D35,费率与参数!$A$10:$D$12,4,0)/1024,0)</f>
        <v>76860</v>
      </c>
      <c r="I35" s="6">
        <f>H35*VLOOKUP("seedance-2.0-mini|Ark官方|480p",费率与参数!$A$16:$G$36,6,0)/1000000</f>
        <v>0.92232</v>
      </c>
      <c r="J35" s="5">
        <f>MAX(费率与参数!$B$4,CEILING(I35/费率与参数!$B$2,费率与参数!$B$3))</f>
        <v>93</v>
      </c>
      <c r="K35" s="8">
        <f>J35*费率与参数!$B$2</f>
        <v>0.93</v>
      </c>
      <c r="L35" s="9">
        <f t="shared" si="0"/>
        <v>0.00825806451612909</v>
      </c>
    </row>
    <row r="36" spans="1:12">
      <c r="A36" s="4" t="s">
        <v>51</v>
      </c>
      <c r="B36" s="4" t="s">
        <v>40</v>
      </c>
      <c r="C36" s="4" t="s">
        <v>106</v>
      </c>
      <c r="D36" s="4" t="s">
        <v>27</v>
      </c>
      <c r="E36" s="4">
        <v>9</v>
      </c>
      <c r="F36" s="5" t="s">
        <v>103</v>
      </c>
      <c r="G36" s="4" t="s">
        <v>41</v>
      </c>
      <c r="H36" s="5">
        <f>ROUNDUP(E36*VLOOKUP(D36,费率与参数!$A$10:$D$12,2,0)*VLOOKUP(D36,费率与参数!$A$10:$D$12,3,0)*VLOOKUP(D36,费率与参数!$A$10:$D$12,4,0)/1024,0)</f>
        <v>86468</v>
      </c>
      <c r="I36" s="6">
        <f>H36*VLOOKUP("seedance-2.0-mini|Ark官方|480p",费率与参数!$A$16:$G$36,6,0)/1000000</f>
        <v>1.037616</v>
      </c>
      <c r="J36" s="5">
        <f>MAX(费率与参数!$B$4,CEILING(I36/费率与参数!$B$2,费率与参数!$B$3))</f>
        <v>104</v>
      </c>
      <c r="K36" s="8">
        <f>J36*费率与参数!$B$2</f>
        <v>1.04</v>
      </c>
      <c r="L36" s="9">
        <f t="shared" si="0"/>
        <v>0.00229230769230759</v>
      </c>
    </row>
    <row r="37" spans="1:12">
      <c r="A37" s="4" t="s">
        <v>51</v>
      </c>
      <c r="B37" s="4" t="s">
        <v>40</v>
      </c>
      <c r="C37" s="4" t="s">
        <v>106</v>
      </c>
      <c r="D37" s="4" t="s">
        <v>27</v>
      </c>
      <c r="E37" s="4">
        <v>10</v>
      </c>
      <c r="F37" s="5" t="s">
        <v>103</v>
      </c>
      <c r="G37" s="4" t="s">
        <v>41</v>
      </c>
      <c r="H37" s="5">
        <f>ROUNDUP(E37*VLOOKUP(D37,费率与参数!$A$10:$D$12,2,0)*VLOOKUP(D37,费率与参数!$A$10:$D$12,3,0)*VLOOKUP(D37,费率与参数!$A$10:$D$12,4,0)/1024,0)</f>
        <v>96075</v>
      </c>
      <c r="I37" s="6">
        <f>H37*VLOOKUP("seedance-2.0-mini|Ark官方|480p",费率与参数!$A$16:$G$36,6,0)/1000000</f>
        <v>1.1529</v>
      </c>
      <c r="J37" s="5">
        <f>MAX(费率与参数!$B$4,CEILING(I37/费率与参数!$B$2,费率与参数!$B$3))</f>
        <v>116</v>
      </c>
      <c r="K37" s="8">
        <f>J37*费率与参数!$B$2</f>
        <v>1.16</v>
      </c>
      <c r="L37" s="9">
        <f t="shared" si="0"/>
        <v>0.00612068965517232</v>
      </c>
    </row>
    <row r="38" spans="1:12">
      <c r="A38" s="4" t="s">
        <v>51</v>
      </c>
      <c r="B38" s="4" t="s">
        <v>40</v>
      </c>
      <c r="C38" s="4" t="s">
        <v>106</v>
      </c>
      <c r="D38" s="4" t="s">
        <v>27</v>
      </c>
      <c r="E38" s="4">
        <v>11</v>
      </c>
      <c r="F38" s="5" t="s">
        <v>103</v>
      </c>
      <c r="G38" s="4" t="s">
        <v>41</v>
      </c>
      <c r="H38" s="5">
        <f>ROUNDUP(E38*VLOOKUP(D38,费率与参数!$A$10:$D$12,2,0)*VLOOKUP(D38,费率与参数!$A$10:$D$12,3,0)*VLOOKUP(D38,费率与参数!$A$10:$D$12,4,0)/1024,0)</f>
        <v>105683</v>
      </c>
      <c r="I38" s="6">
        <f>H38*VLOOKUP("seedance-2.0-mini|Ark官方|480p",费率与参数!$A$16:$G$36,6,0)/1000000</f>
        <v>1.268196</v>
      </c>
      <c r="J38" s="5">
        <f>MAX(费率与参数!$B$4,CEILING(I38/费率与参数!$B$2,费率与参数!$B$3))</f>
        <v>127</v>
      </c>
      <c r="K38" s="8">
        <f>J38*费率与参数!$B$2</f>
        <v>1.27</v>
      </c>
      <c r="L38" s="9">
        <f t="shared" si="0"/>
        <v>0.00142047244094479</v>
      </c>
    </row>
    <row r="39" spans="1:12">
      <c r="A39" s="4" t="s">
        <v>51</v>
      </c>
      <c r="B39" s="4" t="s">
        <v>40</v>
      </c>
      <c r="C39" s="4" t="s">
        <v>106</v>
      </c>
      <c r="D39" s="4" t="s">
        <v>27</v>
      </c>
      <c r="E39" s="4">
        <v>12</v>
      </c>
      <c r="F39" s="5" t="s">
        <v>103</v>
      </c>
      <c r="G39" s="4" t="s">
        <v>41</v>
      </c>
      <c r="H39" s="5">
        <f>ROUNDUP(E39*VLOOKUP(D39,费率与参数!$A$10:$D$12,2,0)*VLOOKUP(D39,费率与参数!$A$10:$D$12,3,0)*VLOOKUP(D39,费率与参数!$A$10:$D$12,4,0)/1024,0)</f>
        <v>115290</v>
      </c>
      <c r="I39" s="6">
        <f>H39*VLOOKUP("seedance-2.0-mini|Ark官方|480p",费率与参数!$A$16:$G$36,6,0)/1000000</f>
        <v>1.38348</v>
      </c>
      <c r="J39" s="5">
        <f>MAX(费率与参数!$B$4,CEILING(I39/费率与参数!$B$2,费率与参数!$B$3))</f>
        <v>139</v>
      </c>
      <c r="K39" s="8">
        <f>J39*费率与参数!$B$2</f>
        <v>1.39</v>
      </c>
      <c r="L39" s="9">
        <f t="shared" si="0"/>
        <v>0.00469064748201442</v>
      </c>
    </row>
    <row r="40" spans="1:12">
      <c r="A40" s="4" t="s">
        <v>51</v>
      </c>
      <c r="B40" s="4" t="s">
        <v>40</v>
      </c>
      <c r="C40" s="4" t="s">
        <v>106</v>
      </c>
      <c r="D40" s="4" t="s">
        <v>27</v>
      </c>
      <c r="E40" s="4">
        <v>13</v>
      </c>
      <c r="F40" s="5" t="s">
        <v>103</v>
      </c>
      <c r="G40" s="4" t="s">
        <v>41</v>
      </c>
      <c r="H40" s="5">
        <f>ROUNDUP(E40*VLOOKUP(D40,费率与参数!$A$10:$D$12,2,0)*VLOOKUP(D40,费率与参数!$A$10:$D$12,3,0)*VLOOKUP(D40,费率与参数!$A$10:$D$12,4,0)/1024,0)</f>
        <v>124898</v>
      </c>
      <c r="I40" s="6">
        <f>H40*VLOOKUP("seedance-2.0-mini|Ark官方|480p",费率与参数!$A$16:$G$36,6,0)/1000000</f>
        <v>1.498776</v>
      </c>
      <c r="J40" s="5">
        <f>MAX(费率与参数!$B$4,CEILING(I40/费率与参数!$B$2,费率与参数!$B$3))</f>
        <v>150</v>
      </c>
      <c r="K40" s="8">
        <f>J40*费率与参数!$B$2</f>
        <v>1.5</v>
      </c>
      <c r="L40" s="9">
        <f t="shared" si="0"/>
        <v>0.000815999999999928</v>
      </c>
    </row>
    <row r="41" spans="1:12">
      <c r="A41" s="4" t="s">
        <v>51</v>
      </c>
      <c r="B41" s="4" t="s">
        <v>40</v>
      </c>
      <c r="C41" s="4" t="s">
        <v>106</v>
      </c>
      <c r="D41" s="4" t="s">
        <v>27</v>
      </c>
      <c r="E41" s="4">
        <v>14</v>
      </c>
      <c r="F41" s="5" t="s">
        <v>103</v>
      </c>
      <c r="G41" s="4" t="s">
        <v>41</v>
      </c>
      <c r="H41" s="5">
        <f>ROUNDUP(E41*VLOOKUP(D41,费率与参数!$A$10:$D$12,2,0)*VLOOKUP(D41,费率与参数!$A$10:$D$12,3,0)*VLOOKUP(D41,费率与参数!$A$10:$D$12,4,0)/1024,0)</f>
        <v>134505</v>
      </c>
      <c r="I41" s="6">
        <f>H41*VLOOKUP("seedance-2.0-mini|Ark官方|480p",费率与参数!$A$16:$G$36,6,0)/1000000</f>
        <v>1.61406</v>
      </c>
      <c r="J41" s="5">
        <f>MAX(费率与参数!$B$4,CEILING(I41/费率与参数!$B$2,费率与参数!$B$3))</f>
        <v>162</v>
      </c>
      <c r="K41" s="8">
        <f>J41*费率与参数!$B$2</f>
        <v>1.62</v>
      </c>
      <c r="L41" s="9">
        <f t="shared" si="0"/>
        <v>0.00366666666666671</v>
      </c>
    </row>
    <row r="42" spans="1:12">
      <c r="A42" s="4" t="s">
        <v>51</v>
      </c>
      <c r="B42" s="4" t="s">
        <v>40</v>
      </c>
      <c r="C42" s="4" t="s">
        <v>106</v>
      </c>
      <c r="D42" s="4" t="s">
        <v>27</v>
      </c>
      <c r="E42" s="4">
        <v>15</v>
      </c>
      <c r="F42" s="5" t="s">
        <v>103</v>
      </c>
      <c r="G42" s="4" t="s">
        <v>41</v>
      </c>
      <c r="H42" s="5">
        <f>ROUNDUP(E42*VLOOKUP(D42,费率与参数!$A$10:$D$12,2,0)*VLOOKUP(D42,费率与参数!$A$10:$D$12,3,0)*VLOOKUP(D42,费率与参数!$A$10:$D$12,4,0)/1024,0)</f>
        <v>144113</v>
      </c>
      <c r="I42" s="6">
        <f>H42*VLOOKUP("seedance-2.0-mini|Ark官方|480p",费率与参数!$A$16:$G$36,6,0)/1000000</f>
        <v>1.729356</v>
      </c>
      <c r="J42" s="5">
        <f>MAX(费率与参数!$B$4,CEILING(I42/费率与参数!$B$2,费率与参数!$B$3))</f>
        <v>173</v>
      </c>
      <c r="K42" s="8">
        <f>J42*费率与参数!$B$2</f>
        <v>1.73</v>
      </c>
      <c r="L42" s="9">
        <f t="shared" si="0"/>
        <v>0.000372254335260114</v>
      </c>
    </row>
    <row r="43" spans="1:12">
      <c r="A43" s="4" t="s">
        <v>51</v>
      </c>
      <c r="B43" s="4" t="s">
        <v>40</v>
      </c>
      <c r="C43" s="4" t="s">
        <v>106</v>
      </c>
      <c r="D43" s="4" t="s">
        <v>28</v>
      </c>
      <c r="E43" s="4">
        <v>4</v>
      </c>
      <c r="F43" s="5" t="s">
        <v>103</v>
      </c>
      <c r="G43" s="4" t="s">
        <v>41</v>
      </c>
      <c r="H43" s="5">
        <f>ROUNDUP(E43*VLOOKUP(D43,费率与参数!$A$10:$D$12,2,0)*VLOOKUP(D43,费率与参数!$A$10:$D$12,3,0)*VLOOKUP(D43,费率与参数!$A$10:$D$12,4,0)/1024,0)</f>
        <v>86400</v>
      </c>
      <c r="I43" s="6">
        <f>H43*VLOOKUP("seedance-2.0-mini|Ark官方|720p",费率与参数!$A$16:$G$36,6,0)/1000000</f>
        <v>1.5552</v>
      </c>
      <c r="J43" s="5">
        <f>MAX(费率与参数!$B$4,CEILING(I43/费率与参数!$B$2,费率与参数!$B$3))</f>
        <v>156</v>
      </c>
      <c r="K43" s="8">
        <f>J43*费率与参数!$B$2</f>
        <v>1.56</v>
      </c>
      <c r="L43" s="9">
        <f t="shared" si="0"/>
        <v>0.0030769230769232</v>
      </c>
    </row>
    <row r="44" spans="1:12">
      <c r="A44" s="4" t="s">
        <v>51</v>
      </c>
      <c r="B44" s="4" t="s">
        <v>40</v>
      </c>
      <c r="C44" s="4" t="s">
        <v>106</v>
      </c>
      <c r="D44" s="4" t="s">
        <v>28</v>
      </c>
      <c r="E44" s="4">
        <v>5</v>
      </c>
      <c r="F44" s="5" t="s">
        <v>103</v>
      </c>
      <c r="G44" s="4" t="s">
        <v>41</v>
      </c>
      <c r="H44" s="5">
        <f>ROUNDUP(E44*VLOOKUP(D44,费率与参数!$A$10:$D$12,2,0)*VLOOKUP(D44,费率与参数!$A$10:$D$12,3,0)*VLOOKUP(D44,费率与参数!$A$10:$D$12,4,0)/1024,0)</f>
        <v>108000</v>
      </c>
      <c r="I44" s="6">
        <f>H44*VLOOKUP("seedance-2.0-mini|Ark官方|720p",费率与参数!$A$16:$G$36,6,0)/1000000</f>
        <v>1.944</v>
      </c>
      <c r="J44" s="5">
        <f>MAX(费率与参数!$B$4,CEILING(I44/费率与参数!$B$2,费率与参数!$B$3))</f>
        <v>195</v>
      </c>
      <c r="K44" s="8">
        <f>J44*费率与参数!$B$2</f>
        <v>1.95</v>
      </c>
      <c r="L44" s="9">
        <f t="shared" si="0"/>
        <v>0.00307692307692309</v>
      </c>
    </row>
    <row r="45" spans="1:12">
      <c r="A45" s="4" t="s">
        <v>51</v>
      </c>
      <c r="B45" s="4" t="s">
        <v>40</v>
      </c>
      <c r="C45" s="4" t="s">
        <v>106</v>
      </c>
      <c r="D45" s="4" t="s">
        <v>28</v>
      </c>
      <c r="E45" s="4">
        <v>6</v>
      </c>
      <c r="F45" s="5" t="s">
        <v>103</v>
      </c>
      <c r="G45" s="4" t="s">
        <v>41</v>
      </c>
      <c r="H45" s="5">
        <f>ROUNDUP(E45*VLOOKUP(D45,费率与参数!$A$10:$D$12,2,0)*VLOOKUP(D45,费率与参数!$A$10:$D$12,3,0)*VLOOKUP(D45,费率与参数!$A$10:$D$12,4,0)/1024,0)</f>
        <v>129600</v>
      </c>
      <c r="I45" s="6">
        <f>H45*VLOOKUP("seedance-2.0-mini|Ark官方|720p",费率与参数!$A$16:$G$36,6,0)/1000000</f>
        <v>2.3328</v>
      </c>
      <c r="J45" s="5">
        <f>MAX(费率与参数!$B$4,CEILING(I45/费率与参数!$B$2,费率与参数!$B$3))</f>
        <v>234</v>
      </c>
      <c r="K45" s="8">
        <f>J45*费率与参数!$B$2</f>
        <v>2.34</v>
      </c>
      <c r="L45" s="9">
        <f t="shared" si="0"/>
        <v>0.00307692307692298</v>
      </c>
    </row>
    <row r="46" spans="1:12">
      <c r="A46" s="4" t="s">
        <v>51</v>
      </c>
      <c r="B46" s="4" t="s">
        <v>40</v>
      </c>
      <c r="C46" s="4" t="s">
        <v>106</v>
      </c>
      <c r="D46" s="4" t="s">
        <v>28</v>
      </c>
      <c r="E46" s="4">
        <v>7</v>
      </c>
      <c r="F46" s="5" t="s">
        <v>103</v>
      </c>
      <c r="G46" s="4" t="s">
        <v>41</v>
      </c>
      <c r="H46" s="5">
        <f>ROUNDUP(E46*VLOOKUP(D46,费率与参数!$A$10:$D$12,2,0)*VLOOKUP(D46,费率与参数!$A$10:$D$12,3,0)*VLOOKUP(D46,费率与参数!$A$10:$D$12,4,0)/1024,0)</f>
        <v>151200</v>
      </c>
      <c r="I46" s="6">
        <f>H46*VLOOKUP("seedance-2.0-mini|Ark官方|720p",费率与参数!$A$16:$G$36,6,0)/1000000</f>
        <v>2.7216</v>
      </c>
      <c r="J46" s="5">
        <f>MAX(费率与参数!$B$4,CEILING(I46/费率与参数!$B$2,费率与参数!$B$3))</f>
        <v>273</v>
      </c>
      <c r="K46" s="8">
        <f>J46*费率与参数!$B$2</f>
        <v>2.73</v>
      </c>
      <c r="L46" s="9">
        <f t="shared" si="0"/>
        <v>0.00307692307692309</v>
      </c>
    </row>
    <row r="47" spans="1:12">
      <c r="A47" s="4" t="s">
        <v>51</v>
      </c>
      <c r="B47" s="4" t="s">
        <v>40</v>
      </c>
      <c r="C47" s="4" t="s">
        <v>106</v>
      </c>
      <c r="D47" s="4" t="s">
        <v>28</v>
      </c>
      <c r="E47" s="4">
        <v>8</v>
      </c>
      <c r="F47" s="5" t="s">
        <v>103</v>
      </c>
      <c r="G47" s="4" t="s">
        <v>41</v>
      </c>
      <c r="H47" s="5">
        <f>ROUNDUP(E47*VLOOKUP(D47,费率与参数!$A$10:$D$12,2,0)*VLOOKUP(D47,费率与参数!$A$10:$D$12,3,0)*VLOOKUP(D47,费率与参数!$A$10:$D$12,4,0)/1024,0)</f>
        <v>172800</v>
      </c>
      <c r="I47" s="6">
        <f>H47*VLOOKUP("seedance-2.0-mini|Ark官方|720p",费率与参数!$A$16:$G$36,6,0)/1000000</f>
        <v>3.1104</v>
      </c>
      <c r="J47" s="5">
        <f>MAX(费率与参数!$B$4,CEILING(I47/费率与参数!$B$2,费率与参数!$B$3))</f>
        <v>312</v>
      </c>
      <c r="K47" s="8">
        <f>J47*费率与参数!$B$2</f>
        <v>3.12</v>
      </c>
      <c r="L47" s="9">
        <f t="shared" si="0"/>
        <v>0.0030769230769232</v>
      </c>
    </row>
    <row r="48" spans="1:12">
      <c r="A48" s="4" t="s">
        <v>51</v>
      </c>
      <c r="B48" s="4" t="s">
        <v>40</v>
      </c>
      <c r="C48" s="4" t="s">
        <v>106</v>
      </c>
      <c r="D48" s="4" t="s">
        <v>28</v>
      </c>
      <c r="E48" s="4">
        <v>9</v>
      </c>
      <c r="F48" s="5" t="s">
        <v>103</v>
      </c>
      <c r="G48" s="4" t="s">
        <v>41</v>
      </c>
      <c r="H48" s="5">
        <f>ROUNDUP(E48*VLOOKUP(D48,费率与参数!$A$10:$D$12,2,0)*VLOOKUP(D48,费率与参数!$A$10:$D$12,3,0)*VLOOKUP(D48,费率与参数!$A$10:$D$12,4,0)/1024,0)</f>
        <v>194400</v>
      </c>
      <c r="I48" s="6">
        <f>H48*VLOOKUP("seedance-2.0-mini|Ark官方|720p",费率与参数!$A$16:$G$36,6,0)/1000000</f>
        <v>3.4992</v>
      </c>
      <c r="J48" s="5">
        <f>MAX(费率与参数!$B$4,CEILING(I48/费率与参数!$B$2,费率与参数!$B$3))</f>
        <v>350</v>
      </c>
      <c r="K48" s="8">
        <f>J48*费率与参数!$B$2</f>
        <v>3.5</v>
      </c>
      <c r="L48" s="9">
        <f t="shared" si="0"/>
        <v>0.000228571428571356</v>
      </c>
    </row>
    <row r="49" spans="1:12">
      <c r="A49" s="4" t="s">
        <v>51</v>
      </c>
      <c r="B49" s="4" t="s">
        <v>40</v>
      </c>
      <c r="C49" s="4" t="s">
        <v>106</v>
      </c>
      <c r="D49" s="4" t="s">
        <v>28</v>
      </c>
      <c r="E49" s="4">
        <v>10</v>
      </c>
      <c r="F49" s="5" t="s">
        <v>103</v>
      </c>
      <c r="G49" s="4" t="s">
        <v>41</v>
      </c>
      <c r="H49" s="5">
        <f>ROUNDUP(E49*VLOOKUP(D49,费率与参数!$A$10:$D$12,2,0)*VLOOKUP(D49,费率与参数!$A$10:$D$12,3,0)*VLOOKUP(D49,费率与参数!$A$10:$D$12,4,0)/1024,0)</f>
        <v>216000</v>
      </c>
      <c r="I49" s="6">
        <f>H49*VLOOKUP("seedance-2.0-mini|Ark官方|720p",费率与参数!$A$16:$G$36,6,0)/1000000</f>
        <v>3.888</v>
      </c>
      <c r="J49" s="5">
        <f>MAX(费率与参数!$B$4,CEILING(I49/费率与参数!$B$2,费率与参数!$B$3))</f>
        <v>389</v>
      </c>
      <c r="K49" s="8">
        <f>J49*费率与参数!$B$2</f>
        <v>3.89</v>
      </c>
      <c r="L49" s="9">
        <f t="shared" si="0"/>
        <v>0.000514138817480747</v>
      </c>
    </row>
    <row r="50" spans="1:12">
      <c r="A50" s="4" t="s">
        <v>51</v>
      </c>
      <c r="B50" s="4" t="s">
        <v>40</v>
      </c>
      <c r="C50" s="4" t="s">
        <v>106</v>
      </c>
      <c r="D50" s="4" t="s">
        <v>28</v>
      </c>
      <c r="E50" s="4">
        <v>11</v>
      </c>
      <c r="F50" s="5" t="s">
        <v>103</v>
      </c>
      <c r="G50" s="4" t="s">
        <v>41</v>
      </c>
      <c r="H50" s="5">
        <f>ROUNDUP(E50*VLOOKUP(D50,费率与参数!$A$10:$D$12,2,0)*VLOOKUP(D50,费率与参数!$A$10:$D$12,3,0)*VLOOKUP(D50,费率与参数!$A$10:$D$12,4,0)/1024,0)</f>
        <v>237600</v>
      </c>
      <c r="I50" s="6">
        <f>H50*VLOOKUP("seedance-2.0-mini|Ark官方|720p",费率与参数!$A$16:$G$36,6,0)/1000000</f>
        <v>4.2768</v>
      </c>
      <c r="J50" s="5">
        <f>MAX(费率与参数!$B$4,CEILING(I50/费率与参数!$B$2,费率与参数!$B$3))</f>
        <v>428</v>
      </c>
      <c r="K50" s="8">
        <f>J50*费率与参数!$B$2</f>
        <v>4.28</v>
      </c>
      <c r="L50" s="9">
        <f t="shared" si="0"/>
        <v>0.000747663551401989</v>
      </c>
    </row>
    <row r="51" spans="1:12">
      <c r="A51" s="4" t="s">
        <v>51</v>
      </c>
      <c r="B51" s="4" t="s">
        <v>40</v>
      </c>
      <c r="C51" s="4" t="s">
        <v>106</v>
      </c>
      <c r="D51" s="4" t="s">
        <v>28</v>
      </c>
      <c r="E51" s="4">
        <v>12</v>
      </c>
      <c r="F51" s="5" t="s">
        <v>103</v>
      </c>
      <c r="G51" s="4" t="s">
        <v>41</v>
      </c>
      <c r="H51" s="5">
        <f>ROUNDUP(E51*VLOOKUP(D51,费率与参数!$A$10:$D$12,2,0)*VLOOKUP(D51,费率与参数!$A$10:$D$12,3,0)*VLOOKUP(D51,费率与参数!$A$10:$D$12,4,0)/1024,0)</f>
        <v>259200</v>
      </c>
      <c r="I51" s="6">
        <f>H51*VLOOKUP("seedance-2.0-mini|Ark官方|720p",费率与参数!$A$16:$G$36,6,0)/1000000</f>
        <v>4.6656</v>
      </c>
      <c r="J51" s="5">
        <f>MAX(费率与参数!$B$4,CEILING(I51/费率与参数!$B$2,费率与参数!$B$3))</f>
        <v>467</v>
      </c>
      <c r="K51" s="8">
        <f>J51*费率与参数!$B$2</f>
        <v>4.67</v>
      </c>
      <c r="L51" s="9">
        <f t="shared" si="0"/>
        <v>0.000942184154175463</v>
      </c>
    </row>
    <row r="52" spans="1:12">
      <c r="A52" s="4" t="s">
        <v>51</v>
      </c>
      <c r="B52" s="4" t="s">
        <v>40</v>
      </c>
      <c r="C52" s="4" t="s">
        <v>106</v>
      </c>
      <c r="D52" s="4" t="s">
        <v>28</v>
      </c>
      <c r="E52" s="4">
        <v>13</v>
      </c>
      <c r="F52" s="5" t="s">
        <v>103</v>
      </c>
      <c r="G52" s="4" t="s">
        <v>41</v>
      </c>
      <c r="H52" s="5">
        <f>ROUNDUP(E52*VLOOKUP(D52,费率与参数!$A$10:$D$12,2,0)*VLOOKUP(D52,费率与参数!$A$10:$D$12,3,0)*VLOOKUP(D52,费率与参数!$A$10:$D$12,4,0)/1024,0)</f>
        <v>280800</v>
      </c>
      <c r="I52" s="6">
        <f>H52*VLOOKUP("seedance-2.0-mini|Ark官方|720p",费率与参数!$A$16:$G$36,6,0)/1000000</f>
        <v>5.0544</v>
      </c>
      <c r="J52" s="5">
        <f>MAX(费率与参数!$B$4,CEILING(I52/费率与参数!$B$2,费率与参数!$B$3))</f>
        <v>506</v>
      </c>
      <c r="K52" s="8">
        <f>J52*费率与参数!$B$2</f>
        <v>5.06</v>
      </c>
      <c r="L52" s="9">
        <f t="shared" si="0"/>
        <v>0.00110671936758899</v>
      </c>
    </row>
    <row r="53" spans="1:12">
      <c r="A53" s="4" t="s">
        <v>51</v>
      </c>
      <c r="B53" s="4" t="s">
        <v>40</v>
      </c>
      <c r="C53" s="4" t="s">
        <v>106</v>
      </c>
      <c r="D53" s="4" t="s">
        <v>28</v>
      </c>
      <c r="E53" s="4">
        <v>14</v>
      </c>
      <c r="F53" s="5" t="s">
        <v>103</v>
      </c>
      <c r="G53" s="4" t="s">
        <v>41</v>
      </c>
      <c r="H53" s="5">
        <f>ROUNDUP(E53*VLOOKUP(D53,费率与参数!$A$10:$D$12,2,0)*VLOOKUP(D53,费率与参数!$A$10:$D$12,3,0)*VLOOKUP(D53,费率与参数!$A$10:$D$12,4,0)/1024,0)</f>
        <v>302400</v>
      </c>
      <c r="I53" s="6">
        <f>H53*VLOOKUP("seedance-2.0-mini|Ark官方|720p",费率与参数!$A$16:$G$36,6,0)/1000000</f>
        <v>5.4432</v>
      </c>
      <c r="J53" s="5">
        <f>MAX(费率与参数!$B$4,CEILING(I53/费率与参数!$B$2,费率与参数!$B$3))</f>
        <v>545</v>
      </c>
      <c r="K53" s="8">
        <f>J53*费率与参数!$B$2</f>
        <v>5.45</v>
      </c>
      <c r="L53" s="9">
        <f t="shared" si="0"/>
        <v>0.00124770642201832</v>
      </c>
    </row>
    <row r="54" spans="1:12">
      <c r="A54" s="4" t="s">
        <v>51</v>
      </c>
      <c r="B54" s="4" t="s">
        <v>40</v>
      </c>
      <c r="C54" s="4" t="s">
        <v>106</v>
      </c>
      <c r="D54" s="4" t="s">
        <v>28</v>
      </c>
      <c r="E54" s="4">
        <v>15</v>
      </c>
      <c r="F54" s="5" t="s">
        <v>103</v>
      </c>
      <c r="G54" s="4" t="s">
        <v>41</v>
      </c>
      <c r="H54" s="5">
        <f>ROUNDUP(E54*VLOOKUP(D54,费率与参数!$A$10:$D$12,2,0)*VLOOKUP(D54,费率与参数!$A$10:$D$12,3,0)*VLOOKUP(D54,费率与参数!$A$10:$D$12,4,0)/1024,0)</f>
        <v>324000</v>
      </c>
      <c r="I54" s="6">
        <f>H54*VLOOKUP("seedance-2.0-mini|Ark官方|720p",费率与参数!$A$16:$G$36,6,0)/1000000</f>
        <v>5.832</v>
      </c>
      <c r="J54" s="5">
        <f>MAX(费率与参数!$B$4,CEILING(I54/费率与参数!$B$2,费率与参数!$B$3))</f>
        <v>584</v>
      </c>
      <c r="K54" s="8">
        <f>J54*费率与参数!$B$2</f>
        <v>5.84</v>
      </c>
      <c r="L54" s="9">
        <f t="shared" si="0"/>
        <v>0.00136986301369868</v>
      </c>
    </row>
    <row r="55" spans="1:12">
      <c r="A55" s="4" t="s">
        <v>51</v>
      </c>
      <c r="B55" s="4" t="s">
        <v>40</v>
      </c>
      <c r="C55" s="4" t="s">
        <v>106</v>
      </c>
      <c r="D55" s="4" t="s">
        <v>29</v>
      </c>
      <c r="E55" s="4">
        <v>4</v>
      </c>
      <c r="F55" s="5" t="s">
        <v>103</v>
      </c>
      <c r="G55" s="4" t="s">
        <v>41</v>
      </c>
      <c r="H55" s="5">
        <f>ROUNDUP(E55*VLOOKUP(D55,费率与参数!$A$10:$D$12,2,0)*VLOOKUP(D55,费率与参数!$A$10:$D$12,3,0)*VLOOKUP(D55,费率与参数!$A$10:$D$12,4,0)/1024,0)</f>
        <v>194400</v>
      </c>
      <c r="I55" s="6">
        <f>H55*VLOOKUP("seedance-2.0-mini|Ark官方|1080p",费率与参数!$A$16:$G$36,6,0)/1000000</f>
        <v>5.832</v>
      </c>
      <c r="J55" s="5">
        <f>MAX(费率与参数!$B$4,CEILING(I55/费率与参数!$B$2,费率与参数!$B$3))</f>
        <v>584</v>
      </c>
      <c r="K55" s="8">
        <f>J55*费率与参数!$B$2</f>
        <v>5.84</v>
      </c>
      <c r="L55" s="9">
        <f t="shared" si="0"/>
        <v>0.00136986301369868</v>
      </c>
    </row>
    <row r="56" spans="1:12">
      <c r="A56" s="4" t="s">
        <v>51</v>
      </c>
      <c r="B56" s="4" t="s">
        <v>40</v>
      </c>
      <c r="C56" s="4" t="s">
        <v>106</v>
      </c>
      <c r="D56" s="4" t="s">
        <v>29</v>
      </c>
      <c r="E56" s="4">
        <v>5</v>
      </c>
      <c r="F56" s="5" t="s">
        <v>103</v>
      </c>
      <c r="G56" s="4" t="s">
        <v>41</v>
      </c>
      <c r="H56" s="5">
        <f>ROUNDUP(E56*VLOOKUP(D56,费率与参数!$A$10:$D$12,2,0)*VLOOKUP(D56,费率与参数!$A$10:$D$12,3,0)*VLOOKUP(D56,费率与参数!$A$10:$D$12,4,0)/1024,0)</f>
        <v>243000</v>
      </c>
      <c r="I56" s="6">
        <f>H56*VLOOKUP("seedance-2.0-mini|Ark官方|1080p",费率与参数!$A$16:$G$36,6,0)/1000000</f>
        <v>7.29</v>
      </c>
      <c r="J56" s="5">
        <f>MAX(费率与参数!$B$4,CEILING(I56/费率与参数!$B$2,费率与参数!$B$3))</f>
        <v>729</v>
      </c>
      <c r="K56" s="8">
        <f>J56*费率与参数!$B$2</f>
        <v>7.29</v>
      </c>
      <c r="L56" s="9">
        <f t="shared" si="0"/>
        <v>0</v>
      </c>
    </row>
    <row r="57" spans="1:12">
      <c r="A57" s="4" t="s">
        <v>51</v>
      </c>
      <c r="B57" s="4" t="s">
        <v>40</v>
      </c>
      <c r="C57" s="4" t="s">
        <v>106</v>
      </c>
      <c r="D57" s="4" t="s">
        <v>29</v>
      </c>
      <c r="E57" s="4">
        <v>6</v>
      </c>
      <c r="F57" s="5" t="s">
        <v>103</v>
      </c>
      <c r="G57" s="4" t="s">
        <v>41</v>
      </c>
      <c r="H57" s="5">
        <f>ROUNDUP(E57*VLOOKUP(D57,费率与参数!$A$10:$D$12,2,0)*VLOOKUP(D57,费率与参数!$A$10:$D$12,3,0)*VLOOKUP(D57,费率与参数!$A$10:$D$12,4,0)/1024,0)</f>
        <v>291600</v>
      </c>
      <c r="I57" s="6">
        <f>H57*VLOOKUP("seedance-2.0-mini|Ark官方|1080p",费率与参数!$A$16:$G$36,6,0)/1000000</f>
        <v>8.748</v>
      </c>
      <c r="J57" s="5">
        <f>MAX(费率与参数!$B$4,CEILING(I57/费率与参数!$B$2,费率与参数!$B$3))</f>
        <v>875</v>
      </c>
      <c r="K57" s="8">
        <f>J57*费率与参数!$B$2</f>
        <v>8.75</v>
      </c>
      <c r="L57" s="9">
        <f t="shared" si="0"/>
        <v>0.000228571428571467</v>
      </c>
    </row>
    <row r="58" spans="1:12">
      <c r="A58" s="4" t="s">
        <v>51</v>
      </c>
      <c r="B58" s="4" t="s">
        <v>40</v>
      </c>
      <c r="C58" s="4" t="s">
        <v>106</v>
      </c>
      <c r="D58" s="4" t="s">
        <v>29</v>
      </c>
      <c r="E58" s="4">
        <v>7</v>
      </c>
      <c r="F58" s="5" t="s">
        <v>103</v>
      </c>
      <c r="G58" s="4" t="s">
        <v>41</v>
      </c>
      <c r="H58" s="5">
        <f>ROUNDUP(E58*VLOOKUP(D58,费率与参数!$A$10:$D$12,2,0)*VLOOKUP(D58,费率与参数!$A$10:$D$12,3,0)*VLOOKUP(D58,费率与参数!$A$10:$D$12,4,0)/1024,0)</f>
        <v>340200</v>
      </c>
      <c r="I58" s="6">
        <f>H58*VLOOKUP("seedance-2.0-mini|Ark官方|1080p",费率与参数!$A$16:$G$36,6,0)/1000000</f>
        <v>10.206</v>
      </c>
      <c r="J58" s="5">
        <f>MAX(费率与参数!$B$4,CEILING(I58/费率与参数!$B$2,费率与参数!$B$3))</f>
        <v>1021</v>
      </c>
      <c r="K58" s="8">
        <f>J58*费率与参数!$B$2</f>
        <v>10.21</v>
      </c>
      <c r="L58" s="9">
        <f t="shared" si="0"/>
        <v>0.000391772771792476</v>
      </c>
    </row>
    <row r="59" spans="1:12">
      <c r="A59" s="4" t="s">
        <v>51</v>
      </c>
      <c r="B59" s="4" t="s">
        <v>40</v>
      </c>
      <c r="C59" s="4" t="s">
        <v>106</v>
      </c>
      <c r="D59" s="4" t="s">
        <v>29</v>
      </c>
      <c r="E59" s="4">
        <v>8</v>
      </c>
      <c r="F59" s="5" t="s">
        <v>103</v>
      </c>
      <c r="G59" s="4" t="s">
        <v>41</v>
      </c>
      <c r="H59" s="5">
        <f>ROUNDUP(E59*VLOOKUP(D59,费率与参数!$A$10:$D$12,2,0)*VLOOKUP(D59,费率与参数!$A$10:$D$12,3,0)*VLOOKUP(D59,费率与参数!$A$10:$D$12,4,0)/1024,0)</f>
        <v>388800</v>
      </c>
      <c r="I59" s="6">
        <f>H59*VLOOKUP("seedance-2.0-mini|Ark官方|1080p",费率与参数!$A$16:$G$36,6,0)/1000000</f>
        <v>11.664</v>
      </c>
      <c r="J59" s="5">
        <f>MAX(费率与参数!$B$4,CEILING(I59/费率与参数!$B$2,费率与参数!$B$3))</f>
        <v>1167</v>
      </c>
      <c r="K59" s="8">
        <f>J59*费率与参数!$B$2</f>
        <v>11.67</v>
      </c>
      <c r="L59" s="9">
        <f t="shared" si="0"/>
        <v>0.000514138817480747</v>
      </c>
    </row>
    <row r="60" spans="1:12">
      <c r="A60" s="4" t="s">
        <v>51</v>
      </c>
      <c r="B60" s="4" t="s">
        <v>40</v>
      </c>
      <c r="C60" s="4" t="s">
        <v>106</v>
      </c>
      <c r="D60" s="4" t="s">
        <v>29</v>
      </c>
      <c r="E60" s="4">
        <v>9</v>
      </c>
      <c r="F60" s="5" t="s">
        <v>103</v>
      </c>
      <c r="G60" s="4" t="s">
        <v>41</v>
      </c>
      <c r="H60" s="5">
        <f>ROUNDUP(E60*VLOOKUP(D60,费率与参数!$A$10:$D$12,2,0)*VLOOKUP(D60,费率与参数!$A$10:$D$12,3,0)*VLOOKUP(D60,费率与参数!$A$10:$D$12,4,0)/1024,0)</f>
        <v>437400</v>
      </c>
      <c r="I60" s="6">
        <f>H60*VLOOKUP("seedance-2.0-mini|Ark官方|1080p",费率与参数!$A$16:$G$36,6,0)/1000000</f>
        <v>13.122</v>
      </c>
      <c r="J60" s="5">
        <f>MAX(费率与参数!$B$4,CEILING(I60/费率与参数!$B$2,费率与参数!$B$3))</f>
        <v>1313</v>
      </c>
      <c r="K60" s="8">
        <f>J60*费率与参数!$B$2</f>
        <v>13.13</v>
      </c>
      <c r="L60" s="9">
        <f t="shared" si="0"/>
        <v>0.000609291698400627</v>
      </c>
    </row>
    <row r="61" spans="1:12">
      <c r="A61" s="4" t="s">
        <v>51</v>
      </c>
      <c r="B61" s="4" t="s">
        <v>40</v>
      </c>
      <c r="C61" s="4" t="s">
        <v>106</v>
      </c>
      <c r="D61" s="4" t="s">
        <v>29</v>
      </c>
      <c r="E61" s="4">
        <v>10</v>
      </c>
      <c r="F61" s="5" t="s">
        <v>103</v>
      </c>
      <c r="G61" s="4" t="s">
        <v>41</v>
      </c>
      <c r="H61" s="5">
        <f>ROUNDUP(E61*VLOOKUP(D61,费率与参数!$A$10:$D$12,2,0)*VLOOKUP(D61,费率与参数!$A$10:$D$12,3,0)*VLOOKUP(D61,费率与参数!$A$10:$D$12,4,0)/1024,0)</f>
        <v>486000</v>
      </c>
      <c r="I61" s="6">
        <f>H61*VLOOKUP("seedance-2.0-mini|Ark官方|1080p",费率与参数!$A$16:$G$36,6,0)/1000000</f>
        <v>14.58</v>
      </c>
      <c r="J61" s="5">
        <f>MAX(费率与参数!$B$4,CEILING(I61/费率与参数!$B$2,费率与参数!$B$3))</f>
        <v>1458</v>
      </c>
      <c r="K61" s="8">
        <f>J61*费率与参数!$B$2</f>
        <v>14.58</v>
      </c>
      <c r="L61" s="9">
        <f t="shared" si="0"/>
        <v>0</v>
      </c>
    </row>
    <row r="62" spans="1:12">
      <c r="A62" s="4" t="s">
        <v>51</v>
      </c>
      <c r="B62" s="4" t="s">
        <v>40</v>
      </c>
      <c r="C62" s="4" t="s">
        <v>106</v>
      </c>
      <c r="D62" s="4" t="s">
        <v>29</v>
      </c>
      <c r="E62" s="4">
        <v>11</v>
      </c>
      <c r="F62" s="5" t="s">
        <v>103</v>
      </c>
      <c r="G62" s="4" t="s">
        <v>41</v>
      </c>
      <c r="H62" s="5">
        <f>ROUNDUP(E62*VLOOKUP(D62,费率与参数!$A$10:$D$12,2,0)*VLOOKUP(D62,费率与参数!$A$10:$D$12,3,0)*VLOOKUP(D62,费率与参数!$A$10:$D$12,4,0)/1024,0)</f>
        <v>534600</v>
      </c>
      <c r="I62" s="6">
        <f>H62*VLOOKUP("seedance-2.0-mini|Ark官方|1080p",费率与参数!$A$16:$G$36,6,0)/1000000</f>
        <v>16.038</v>
      </c>
      <c r="J62" s="5">
        <f>MAX(费率与参数!$B$4,CEILING(I62/费率与参数!$B$2,费率与参数!$B$3))</f>
        <v>1604</v>
      </c>
      <c r="K62" s="8">
        <f>J62*费率与参数!$B$2</f>
        <v>16.04</v>
      </c>
      <c r="L62" s="9">
        <f t="shared" si="0"/>
        <v>0.000124688279301677</v>
      </c>
    </row>
    <row r="63" spans="1:12">
      <c r="A63" s="4" t="s">
        <v>51</v>
      </c>
      <c r="B63" s="4" t="s">
        <v>40</v>
      </c>
      <c r="C63" s="4" t="s">
        <v>106</v>
      </c>
      <c r="D63" s="4" t="s">
        <v>29</v>
      </c>
      <c r="E63" s="4">
        <v>12</v>
      </c>
      <c r="F63" s="5" t="s">
        <v>103</v>
      </c>
      <c r="G63" s="4" t="s">
        <v>41</v>
      </c>
      <c r="H63" s="5">
        <f>ROUNDUP(E63*VLOOKUP(D63,费率与参数!$A$10:$D$12,2,0)*VLOOKUP(D63,费率与参数!$A$10:$D$12,3,0)*VLOOKUP(D63,费率与参数!$A$10:$D$12,4,0)/1024,0)</f>
        <v>583200</v>
      </c>
      <c r="I63" s="6">
        <f>H63*VLOOKUP("seedance-2.0-mini|Ark官方|1080p",费率与参数!$A$16:$G$36,6,0)/1000000</f>
        <v>17.496</v>
      </c>
      <c r="J63" s="5">
        <f>MAX(费率与参数!$B$4,CEILING(I63/费率与参数!$B$2,费率与参数!$B$3))</f>
        <v>1750</v>
      </c>
      <c r="K63" s="8">
        <f>J63*费率与参数!$B$2</f>
        <v>17.5</v>
      </c>
      <c r="L63" s="9">
        <f t="shared" si="0"/>
        <v>0.000228571428571467</v>
      </c>
    </row>
    <row r="64" spans="1:12">
      <c r="A64" s="4" t="s">
        <v>51</v>
      </c>
      <c r="B64" s="4" t="s">
        <v>40</v>
      </c>
      <c r="C64" s="4" t="s">
        <v>106</v>
      </c>
      <c r="D64" s="4" t="s">
        <v>29</v>
      </c>
      <c r="E64" s="4">
        <v>13</v>
      </c>
      <c r="F64" s="5" t="s">
        <v>103</v>
      </c>
      <c r="G64" s="4" t="s">
        <v>41</v>
      </c>
      <c r="H64" s="5">
        <f>ROUNDUP(E64*VLOOKUP(D64,费率与参数!$A$10:$D$12,2,0)*VLOOKUP(D64,费率与参数!$A$10:$D$12,3,0)*VLOOKUP(D64,费率与参数!$A$10:$D$12,4,0)/1024,0)</f>
        <v>631800</v>
      </c>
      <c r="I64" s="6">
        <f>H64*VLOOKUP("seedance-2.0-mini|Ark官方|1080p",费率与参数!$A$16:$G$36,6,0)/1000000</f>
        <v>18.954</v>
      </c>
      <c r="J64" s="5">
        <f>MAX(费率与参数!$B$4,CEILING(I64/费率与参数!$B$2,费率与参数!$B$3))</f>
        <v>1896</v>
      </c>
      <c r="K64" s="8">
        <f>J64*费率与参数!$B$2</f>
        <v>18.96</v>
      </c>
      <c r="L64" s="9">
        <f t="shared" si="0"/>
        <v>0.000316455696202533</v>
      </c>
    </row>
    <row r="65" spans="1:12">
      <c r="A65" s="4" t="s">
        <v>51</v>
      </c>
      <c r="B65" s="4" t="s">
        <v>40</v>
      </c>
      <c r="C65" s="4" t="s">
        <v>106</v>
      </c>
      <c r="D65" s="4" t="s">
        <v>29</v>
      </c>
      <c r="E65" s="4">
        <v>14</v>
      </c>
      <c r="F65" s="5" t="s">
        <v>103</v>
      </c>
      <c r="G65" s="4" t="s">
        <v>41</v>
      </c>
      <c r="H65" s="5">
        <f>ROUNDUP(E65*VLOOKUP(D65,费率与参数!$A$10:$D$12,2,0)*VLOOKUP(D65,费率与参数!$A$10:$D$12,3,0)*VLOOKUP(D65,费率与参数!$A$10:$D$12,4,0)/1024,0)</f>
        <v>680400</v>
      </c>
      <c r="I65" s="6">
        <f>H65*VLOOKUP("seedance-2.0-mini|Ark官方|1080p",费率与参数!$A$16:$G$36,6,0)/1000000</f>
        <v>20.412</v>
      </c>
      <c r="J65" s="5">
        <f>MAX(费率与参数!$B$4,CEILING(I65/费率与参数!$B$2,费率与参数!$B$3))</f>
        <v>2042</v>
      </c>
      <c r="K65" s="8">
        <f>J65*费率与参数!$B$2</f>
        <v>20.42</v>
      </c>
      <c r="L65" s="9">
        <f t="shared" si="0"/>
        <v>0.000391772771792476</v>
      </c>
    </row>
    <row r="66" spans="1:12">
      <c r="A66" s="4" t="s">
        <v>51</v>
      </c>
      <c r="B66" s="4" t="s">
        <v>40</v>
      </c>
      <c r="C66" s="4" t="s">
        <v>106</v>
      </c>
      <c r="D66" s="4" t="s">
        <v>29</v>
      </c>
      <c r="E66" s="4">
        <v>15</v>
      </c>
      <c r="F66" s="5" t="s">
        <v>103</v>
      </c>
      <c r="G66" s="4" t="s">
        <v>41</v>
      </c>
      <c r="H66" s="5">
        <f>ROUNDUP(E66*VLOOKUP(D66,费率与参数!$A$10:$D$12,2,0)*VLOOKUP(D66,费率与参数!$A$10:$D$12,3,0)*VLOOKUP(D66,费率与参数!$A$10:$D$12,4,0)/1024,0)</f>
        <v>729000</v>
      </c>
      <c r="I66" s="6">
        <f>H66*VLOOKUP("seedance-2.0-mini|Ark官方|1080p",费率与参数!$A$16:$G$36,6,0)/1000000</f>
        <v>21.87</v>
      </c>
      <c r="J66" s="5">
        <f>MAX(费率与参数!$B$4,CEILING(I66/费率与参数!$B$2,费率与参数!$B$3))</f>
        <v>2187</v>
      </c>
      <c r="K66" s="8">
        <f>J66*费率与参数!$B$2</f>
        <v>21.87</v>
      </c>
      <c r="L66" s="9">
        <f t="shared" si="0"/>
        <v>0</v>
      </c>
    </row>
    <row r="67" spans="1:12">
      <c r="A67" s="4" t="s">
        <v>57</v>
      </c>
      <c r="B67" s="4" t="s">
        <v>58</v>
      </c>
      <c r="C67" s="4" t="s">
        <v>107</v>
      </c>
      <c r="D67" s="4" t="s">
        <v>59</v>
      </c>
      <c r="E67" s="4">
        <v>4</v>
      </c>
      <c r="F67" s="5">
        <v>0</v>
      </c>
      <c r="G67" s="4" t="s">
        <v>108</v>
      </c>
      <c r="H67" s="5" t="s">
        <v>103</v>
      </c>
      <c r="I67" s="6">
        <f>E67*VLOOKUP("minimax-h3|MiniMax官方|768p",费率与参数!$A$16:$G$36,6,0)</f>
        <v>2</v>
      </c>
      <c r="J67" s="5">
        <f>MAX(费率与参数!$B$4,CEILING(I67/费率与参数!$B$2,费率与参数!$B$3))</f>
        <v>200</v>
      </c>
      <c r="K67" s="8">
        <f>J67*费率与参数!$B$2</f>
        <v>2</v>
      </c>
      <c r="L67" s="9">
        <f t="shared" si="0"/>
        <v>0</v>
      </c>
    </row>
    <row r="68" spans="1:12">
      <c r="A68" s="4" t="s">
        <v>57</v>
      </c>
      <c r="B68" s="4" t="s">
        <v>58</v>
      </c>
      <c r="C68" s="4" t="s">
        <v>107</v>
      </c>
      <c r="D68" s="4" t="s">
        <v>59</v>
      </c>
      <c r="E68" s="4">
        <v>5</v>
      </c>
      <c r="F68" s="5">
        <v>0</v>
      </c>
      <c r="G68" s="4" t="s">
        <v>108</v>
      </c>
      <c r="H68" s="5" t="s">
        <v>103</v>
      </c>
      <c r="I68" s="6">
        <f>E68*VLOOKUP("minimax-h3|MiniMax官方|768p",费率与参数!$A$16:$G$36,6,0)</f>
        <v>2.5</v>
      </c>
      <c r="J68" s="5">
        <f>MAX(费率与参数!$B$4,CEILING(I68/费率与参数!$B$2,费率与参数!$B$3))</f>
        <v>250</v>
      </c>
      <c r="K68" s="8">
        <f>J68*费率与参数!$B$2</f>
        <v>2.5</v>
      </c>
      <c r="L68" s="9">
        <f t="shared" ref="L68:L131" si="1">IF(K68&gt;0,1-I68/K68,0)</f>
        <v>0</v>
      </c>
    </row>
    <row r="69" spans="1:12">
      <c r="A69" s="4" t="s">
        <v>57</v>
      </c>
      <c r="B69" s="4" t="s">
        <v>58</v>
      </c>
      <c r="C69" s="4" t="s">
        <v>107</v>
      </c>
      <c r="D69" s="4" t="s">
        <v>59</v>
      </c>
      <c r="E69" s="4">
        <v>6</v>
      </c>
      <c r="F69" s="5">
        <v>0</v>
      </c>
      <c r="G69" s="4" t="s">
        <v>108</v>
      </c>
      <c r="H69" s="5" t="s">
        <v>103</v>
      </c>
      <c r="I69" s="6">
        <f>E69*VLOOKUP("minimax-h3|MiniMax官方|768p",费率与参数!$A$16:$G$36,6,0)</f>
        <v>3</v>
      </c>
      <c r="J69" s="5">
        <f>MAX(费率与参数!$B$4,CEILING(I69/费率与参数!$B$2,费率与参数!$B$3))</f>
        <v>300</v>
      </c>
      <c r="K69" s="8">
        <f>J69*费率与参数!$B$2</f>
        <v>3</v>
      </c>
      <c r="L69" s="9">
        <f t="shared" si="1"/>
        <v>0</v>
      </c>
    </row>
    <row r="70" spans="1:12">
      <c r="A70" s="4" t="s">
        <v>57</v>
      </c>
      <c r="B70" s="4" t="s">
        <v>58</v>
      </c>
      <c r="C70" s="4" t="s">
        <v>107</v>
      </c>
      <c r="D70" s="4" t="s">
        <v>59</v>
      </c>
      <c r="E70" s="4">
        <v>7</v>
      </c>
      <c r="F70" s="5">
        <v>0</v>
      </c>
      <c r="G70" s="4" t="s">
        <v>108</v>
      </c>
      <c r="H70" s="5" t="s">
        <v>103</v>
      </c>
      <c r="I70" s="6">
        <f>E70*VLOOKUP("minimax-h3|MiniMax官方|768p",费率与参数!$A$16:$G$36,6,0)</f>
        <v>3.5</v>
      </c>
      <c r="J70" s="5">
        <f>MAX(费率与参数!$B$4,CEILING(I70/费率与参数!$B$2,费率与参数!$B$3))</f>
        <v>350</v>
      </c>
      <c r="K70" s="8">
        <f>J70*费率与参数!$B$2</f>
        <v>3.5</v>
      </c>
      <c r="L70" s="9">
        <f t="shared" si="1"/>
        <v>0</v>
      </c>
    </row>
    <row r="71" spans="1:12">
      <c r="A71" s="4" t="s">
        <v>57</v>
      </c>
      <c r="B71" s="4" t="s">
        <v>58</v>
      </c>
      <c r="C71" s="4" t="s">
        <v>107</v>
      </c>
      <c r="D71" s="4" t="s">
        <v>59</v>
      </c>
      <c r="E71" s="4">
        <v>8</v>
      </c>
      <c r="F71" s="5">
        <v>0</v>
      </c>
      <c r="G71" s="4" t="s">
        <v>108</v>
      </c>
      <c r="H71" s="5" t="s">
        <v>103</v>
      </c>
      <c r="I71" s="6">
        <f>E71*VLOOKUP("minimax-h3|MiniMax官方|768p",费率与参数!$A$16:$G$36,6,0)</f>
        <v>4</v>
      </c>
      <c r="J71" s="5">
        <f>MAX(费率与参数!$B$4,CEILING(I71/费率与参数!$B$2,费率与参数!$B$3))</f>
        <v>400</v>
      </c>
      <c r="K71" s="8">
        <f>J71*费率与参数!$B$2</f>
        <v>4</v>
      </c>
      <c r="L71" s="9">
        <f t="shared" si="1"/>
        <v>0</v>
      </c>
    </row>
    <row r="72" spans="1:12">
      <c r="A72" s="4" t="s">
        <v>57</v>
      </c>
      <c r="B72" s="4" t="s">
        <v>58</v>
      </c>
      <c r="C72" s="4" t="s">
        <v>107</v>
      </c>
      <c r="D72" s="4" t="s">
        <v>59</v>
      </c>
      <c r="E72" s="4">
        <v>9</v>
      </c>
      <c r="F72" s="5">
        <v>0</v>
      </c>
      <c r="G72" s="4" t="s">
        <v>108</v>
      </c>
      <c r="H72" s="5" t="s">
        <v>103</v>
      </c>
      <c r="I72" s="6">
        <f>E72*VLOOKUP("minimax-h3|MiniMax官方|768p",费率与参数!$A$16:$G$36,6,0)</f>
        <v>4.5</v>
      </c>
      <c r="J72" s="5">
        <f>MAX(费率与参数!$B$4,CEILING(I72/费率与参数!$B$2,费率与参数!$B$3))</f>
        <v>450</v>
      </c>
      <c r="K72" s="8">
        <f>J72*费率与参数!$B$2</f>
        <v>4.5</v>
      </c>
      <c r="L72" s="9">
        <f t="shared" si="1"/>
        <v>0</v>
      </c>
    </row>
    <row r="73" spans="1:12">
      <c r="A73" s="4" t="s">
        <v>57</v>
      </c>
      <c r="B73" s="4" t="s">
        <v>58</v>
      </c>
      <c r="C73" s="4" t="s">
        <v>107</v>
      </c>
      <c r="D73" s="4" t="s">
        <v>59</v>
      </c>
      <c r="E73" s="4">
        <v>10</v>
      </c>
      <c r="F73" s="5">
        <v>0</v>
      </c>
      <c r="G73" s="4" t="s">
        <v>108</v>
      </c>
      <c r="H73" s="5" t="s">
        <v>103</v>
      </c>
      <c r="I73" s="6">
        <f>E73*VLOOKUP("minimax-h3|MiniMax官方|768p",费率与参数!$A$16:$G$36,6,0)</f>
        <v>5</v>
      </c>
      <c r="J73" s="5">
        <f>MAX(费率与参数!$B$4,CEILING(I73/费率与参数!$B$2,费率与参数!$B$3))</f>
        <v>500</v>
      </c>
      <c r="K73" s="8">
        <f>J73*费率与参数!$B$2</f>
        <v>5</v>
      </c>
      <c r="L73" s="9">
        <f t="shared" si="1"/>
        <v>0</v>
      </c>
    </row>
    <row r="74" spans="1:12">
      <c r="A74" s="4" t="s">
        <v>57</v>
      </c>
      <c r="B74" s="4" t="s">
        <v>58</v>
      </c>
      <c r="C74" s="4" t="s">
        <v>107</v>
      </c>
      <c r="D74" s="4" t="s">
        <v>59</v>
      </c>
      <c r="E74" s="4">
        <v>11</v>
      </c>
      <c r="F74" s="5">
        <v>0</v>
      </c>
      <c r="G74" s="4" t="s">
        <v>108</v>
      </c>
      <c r="H74" s="5" t="s">
        <v>103</v>
      </c>
      <c r="I74" s="6">
        <f>E74*VLOOKUP("minimax-h3|MiniMax官方|768p",费率与参数!$A$16:$G$36,6,0)</f>
        <v>5.5</v>
      </c>
      <c r="J74" s="5">
        <f>MAX(费率与参数!$B$4,CEILING(I74/费率与参数!$B$2,费率与参数!$B$3))</f>
        <v>550</v>
      </c>
      <c r="K74" s="8">
        <f>J74*费率与参数!$B$2</f>
        <v>5.5</v>
      </c>
      <c r="L74" s="9">
        <f t="shared" si="1"/>
        <v>0</v>
      </c>
    </row>
    <row r="75" spans="1:12">
      <c r="A75" s="4" t="s">
        <v>57</v>
      </c>
      <c r="B75" s="4" t="s">
        <v>58</v>
      </c>
      <c r="C75" s="4" t="s">
        <v>107</v>
      </c>
      <c r="D75" s="4" t="s">
        <v>59</v>
      </c>
      <c r="E75" s="4">
        <v>12</v>
      </c>
      <c r="F75" s="5">
        <v>0</v>
      </c>
      <c r="G75" s="4" t="s">
        <v>108</v>
      </c>
      <c r="H75" s="5" t="s">
        <v>103</v>
      </c>
      <c r="I75" s="6">
        <f>E75*VLOOKUP("minimax-h3|MiniMax官方|768p",费率与参数!$A$16:$G$36,6,0)</f>
        <v>6</v>
      </c>
      <c r="J75" s="5">
        <f>MAX(费率与参数!$B$4,CEILING(I75/费率与参数!$B$2,费率与参数!$B$3))</f>
        <v>600</v>
      </c>
      <c r="K75" s="8">
        <f>J75*费率与参数!$B$2</f>
        <v>6</v>
      </c>
      <c r="L75" s="9">
        <f t="shared" si="1"/>
        <v>0</v>
      </c>
    </row>
    <row r="76" spans="1:12">
      <c r="A76" s="4" t="s">
        <v>57</v>
      </c>
      <c r="B76" s="4" t="s">
        <v>58</v>
      </c>
      <c r="C76" s="4" t="s">
        <v>107</v>
      </c>
      <c r="D76" s="4" t="s">
        <v>59</v>
      </c>
      <c r="E76" s="4">
        <v>13</v>
      </c>
      <c r="F76" s="5">
        <v>0</v>
      </c>
      <c r="G76" s="4" t="s">
        <v>108</v>
      </c>
      <c r="H76" s="5" t="s">
        <v>103</v>
      </c>
      <c r="I76" s="6">
        <f>E76*VLOOKUP("minimax-h3|MiniMax官方|768p",费率与参数!$A$16:$G$36,6,0)</f>
        <v>6.5</v>
      </c>
      <c r="J76" s="5">
        <f>MAX(费率与参数!$B$4,CEILING(I76/费率与参数!$B$2,费率与参数!$B$3))</f>
        <v>650</v>
      </c>
      <c r="K76" s="8">
        <f>J76*费率与参数!$B$2</f>
        <v>6.5</v>
      </c>
      <c r="L76" s="9">
        <f t="shared" si="1"/>
        <v>0</v>
      </c>
    </row>
    <row r="77" spans="1:12">
      <c r="A77" s="4" t="s">
        <v>57</v>
      </c>
      <c r="B77" s="4" t="s">
        <v>58</v>
      </c>
      <c r="C77" s="4" t="s">
        <v>107</v>
      </c>
      <c r="D77" s="4" t="s">
        <v>59</v>
      </c>
      <c r="E77" s="4">
        <v>14</v>
      </c>
      <c r="F77" s="5">
        <v>0</v>
      </c>
      <c r="G77" s="4" t="s">
        <v>108</v>
      </c>
      <c r="H77" s="5" t="s">
        <v>103</v>
      </c>
      <c r="I77" s="6">
        <f>E77*VLOOKUP("minimax-h3|MiniMax官方|768p",费率与参数!$A$16:$G$36,6,0)</f>
        <v>7</v>
      </c>
      <c r="J77" s="5">
        <f>MAX(费率与参数!$B$4,CEILING(I77/费率与参数!$B$2,费率与参数!$B$3))</f>
        <v>700</v>
      </c>
      <c r="K77" s="8">
        <f>J77*费率与参数!$B$2</f>
        <v>7</v>
      </c>
      <c r="L77" s="9">
        <f t="shared" si="1"/>
        <v>0</v>
      </c>
    </row>
    <row r="78" spans="1:12">
      <c r="A78" s="4" t="s">
        <v>57</v>
      </c>
      <c r="B78" s="4" t="s">
        <v>58</v>
      </c>
      <c r="C78" s="4" t="s">
        <v>107</v>
      </c>
      <c r="D78" s="4" t="s">
        <v>59</v>
      </c>
      <c r="E78" s="4">
        <v>15</v>
      </c>
      <c r="F78" s="5">
        <v>0</v>
      </c>
      <c r="G78" s="4" t="s">
        <v>108</v>
      </c>
      <c r="H78" s="5" t="s">
        <v>103</v>
      </c>
      <c r="I78" s="6">
        <f>E78*VLOOKUP("minimax-h3|MiniMax官方|768p",费率与参数!$A$16:$G$36,6,0)</f>
        <v>7.5</v>
      </c>
      <c r="J78" s="5">
        <f>MAX(费率与参数!$B$4,CEILING(I78/费率与参数!$B$2,费率与参数!$B$3))</f>
        <v>750</v>
      </c>
      <c r="K78" s="8">
        <f>J78*费率与参数!$B$2</f>
        <v>7.5</v>
      </c>
      <c r="L78" s="9">
        <f t="shared" si="1"/>
        <v>0</v>
      </c>
    </row>
    <row r="79" spans="1:12">
      <c r="A79" s="4" t="s">
        <v>57</v>
      </c>
      <c r="B79" s="4" t="s">
        <v>58</v>
      </c>
      <c r="C79" s="4" t="s">
        <v>107</v>
      </c>
      <c r="D79" s="4" t="s">
        <v>64</v>
      </c>
      <c r="E79" s="4">
        <v>4</v>
      </c>
      <c r="F79" s="5">
        <v>0</v>
      </c>
      <c r="G79" s="4" t="s">
        <v>108</v>
      </c>
      <c r="H79" s="5" t="s">
        <v>103</v>
      </c>
      <c r="I79" s="6">
        <f>E79*VLOOKUP("minimax-h3|MiniMax官方|2k",费率与参数!$A$16:$G$36,6,0)</f>
        <v>3.2</v>
      </c>
      <c r="J79" s="5">
        <f>MAX(费率与参数!$B$4,CEILING(I79/费率与参数!$B$2,费率与参数!$B$3))</f>
        <v>320</v>
      </c>
      <c r="K79" s="8">
        <f>J79*费率与参数!$B$2</f>
        <v>3.2</v>
      </c>
      <c r="L79" s="9">
        <f t="shared" si="1"/>
        <v>0</v>
      </c>
    </row>
    <row r="80" spans="1:12">
      <c r="A80" s="4" t="s">
        <v>57</v>
      </c>
      <c r="B80" s="4" t="s">
        <v>58</v>
      </c>
      <c r="C80" s="4" t="s">
        <v>107</v>
      </c>
      <c r="D80" s="4" t="s">
        <v>64</v>
      </c>
      <c r="E80" s="4">
        <v>5</v>
      </c>
      <c r="F80" s="5">
        <v>0</v>
      </c>
      <c r="G80" s="4" t="s">
        <v>108</v>
      </c>
      <c r="H80" s="5" t="s">
        <v>103</v>
      </c>
      <c r="I80" s="6">
        <f>E80*VLOOKUP("minimax-h3|MiniMax官方|2k",费率与参数!$A$16:$G$36,6,0)</f>
        <v>4</v>
      </c>
      <c r="J80" s="5">
        <f>MAX(费率与参数!$B$4,CEILING(I80/费率与参数!$B$2,费率与参数!$B$3))</f>
        <v>400</v>
      </c>
      <c r="K80" s="8">
        <f>J80*费率与参数!$B$2</f>
        <v>4</v>
      </c>
      <c r="L80" s="9">
        <f t="shared" si="1"/>
        <v>0</v>
      </c>
    </row>
    <row r="81" spans="1:12">
      <c r="A81" s="4" t="s">
        <v>57</v>
      </c>
      <c r="B81" s="4" t="s">
        <v>58</v>
      </c>
      <c r="C81" s="4" t="s">
        <v>107</v>
      </c>
      <c r="D81" s="4" t="s">
        <v>64</v>
      </c>
      <c r="E81" s="4">
        <v>6</v>
      </c>
      <c r="F81" s="5">
        <v>0</v>
      </c>
      <c r="G81" s="4" t="s">
        <v>108</v>
      </c>
      <c r="H81" s="5" t="s">
        <v>103</v>
      </c>
      <c r="I81" s="6">
        <f>E81*VLOOKUP("minimax-h3|MiniMax官方|2k",费率与参数!$A$16:$G$36,6,0)</f>
        <v>4.8</v>
      </c>
      <c r="J81" s="5">
        <f>MAX(费率与参数!$B$4,CEILING(I81/费率与参数!$B$2,费率与参数!$B$3))</f>
        <v>480</v>
      </c>
      <c r="K81" s="8">
        <f>J81*费率与参数!$B$2</f>
        <v>4.8</v>
      </c>
      <c r="L81" s="9">
        <f t="shared" si="1"/>
        <v>0</v>
      </c>
    </row>
    <row r="82" spans="1:12">
      <c r="A82" s="4" t="s">
        <v>57</v>
      </c>
      <c r="B82" s="4" t="s">
        <v>58</v>
      </c>
      <c r="C82" s="4" t="s">
        <v>107</v>
      </c>
      <c r="D82" s="4" t="s">
        <v>64</v>
      </c>
      <c r="E82" s="4">
        <v>7</v>
      </c>
      <c r="F82" s="5">
        <v>0</v>
      </c>
      <c r="G82" s="4" t="s">
        <v>108</v>
      </c>
      <c r="H82" s="5" t="s">
        <v>103</v>
      </c>
      <c r="I82" s="6">
        <f>E82*VLOOKUP("minimax-h3|MiniMax官方|2k",费率与参数!$A$16:$G$36,6,0)</f>
        <v>5.6</v>
      </c>
      <c r="J82" s="5">
        <f>MAX(费率与参数!$B$4,CEILING(I82/费率与参数!$B$2,费率与参数!$B$3))</f>
        <v>560</v>
      </c>
      <c r="K82" s="8">
        <f>J82*费率与参数!$B$2</f>
        <v>5.6</v>
      </c>
      <c r="L82" s="9">
        <f t="shared" si="1"/>
        <v>0</v>
      </c>
    </row>
    <row r="83" spans="1:12">
      <c r="A83" s="4" t="s">
        <v>57</v>
      </c>
      <c r="B83" s="4" t="s">
        <v>58</v>
      </c>
      <c r="C83" s="4" t="s">
        <v>107</v>
      </c>
      <c r="D83" s="4" t="s">
        <v>64</v>
      </c>
      <c r="E83" s="4">
        <v>8</v>
      </c>
      <c r="F83" s="5">
        <v>0</v>
      </c>
      <c r="G83" s="4" t="s">
        <v>108</v>
      </c>
      <c r="H83" s="5" t="s">
        <v>103</v>
      </c>
      <c r="I83" s="6">
        <f>E83*VLOOKUP("minimax-h3|MiniMax官方|2k",费率与参数!$A$16:$G$36,6,0)</f>
        <v>6.4</v>
      </c>
      <c r="J83" s="5">
        <f>MAX(费率与参数!$B$4,CEILING(I83/费率与参数!$B$2,费率与参数!$B$3))</f>
        <v>640</v>
      </c>
      <c r="K83" s="8">
        <f>J83*费率与参数!$B$2</f>
        <v>6.4</v>
      </c>
      <c r="L83" s="9">
        <f t="shared" si="1"/>
        <v>0</v>
      </c>
    </row>
    <row r="84" spans="1:12">
      <c r="A84" s="4" t="s">
        <v>57</v>
      </c>
      <c r="B84" s="4" t="s">
        <v>58</v>
      </c>
      <c r="C84" s="4" t="s">
        <v>107</v>
      </c>
      <c r="D84" s="4" t="s">
        <v>64</v>
      </c>
      <c r="E84" s="4">
        <v>9</v>
      </c>
      <c r="F84" s="5">
        <v>0</v>
      </c>
      <c r="G84" s="4" t="s">
        <v>108</v>
      </c>
      <c r="H84" s="5" t="s">
        <v>103</v>
      </c>
      <c r="I84" s="6">
        <f>E84*VLOOKUP("minimax-h3|MiniMax官方|2k",费率与参数!$A$16:$G$36,6,0)</f>
        <v>7.2</v>
      </c>
      <c r="J84" s="5">
        <f>MAX(费率与参数!$B$4,CEILING(I84/费率与参数!$B$2,费率与参数!$B$3))</f>
        <v>720</v>
      </c>
      <c r="K84" s="8">
        <f>J84*费率与参数!$B$2</f>
        <v>7.2</v>
      </c>
      <c r="L84" s="9">
        <f t="shared" si="1"/>
        <v>0</v>
      </c>
    </row>
    <row r="85" spans="1:12">
      <c r="A85" s="4" t="s">
        <v>57</v>
      </c>
      <c r="B85" s="4" t="s">
        <v>58</v>
      </c>
      <c r="C85" s="4" t="s">
        <v>107</v>
      </c>
      <c r="D85" s="4" t="s">
        <v>64</v>
      </c>
      <c r="E85" s="4">
        <v>10</v>
      </c>
      <c r="F85" s="5">
        <v>0</v>
      </c>
      <c r="G85" s="4" t="s">
        <v>108</v>
      </c>
      <c r="H85" s="5" t="s">
        <v>103</v>
      </c>
      <c r="I85" s="6">
        <f>E85*VLOOKUP("minimax-h3|MiniMax官方|2k",费率与参数!$A$16:$G$36,6,0)</f>
        <v>8</v>
      </c>
      <c r="J85" s="5">
        <f>MAX(费率与参数!$B$4,CEILING(I85/费率与参数!$B$2,费率与参数!$B$3))</f>
        <v>800</v>
      </c>
      <c r="K85" s="8">
        <f>J85*费率与参数!$B$2</f>
        <v>8</v>
      </c>
      <c r="L85" s="9">
        <f t="shared" si="1"/>
        <v>0</v>
      </c>
    </row>
    <row r="86" spans="1:12">
      <c r="A86" s="4" t="s">
        <v>57</v>
      </c>
      <c r="B86" s="4" t="s">
        <v>58</v>
      </c>
      <c r="C86" s="4" t="s">
        <v>107</v>
      </c>
      <c r="D86" s="4" t="s">
        <v>64</v>
      </c>
      <c r="E86" s="4">
        <v>11</v>
      </c>
      <c r="F86" s="5">
        <v>0</v>
      </c>
      <c r="G86" s="4" t="s">
        <v>108</v>
      </c>
      <c r="H86" s="5" t="s">
        <v>103</v>
      </c>
      <c r="I86" s="6">
        <f>E86*VLOOKUP("minimax-h3|MiniMax官方|2k",费率与参数!$A$16:$G$36,6,0)</f>
        <v>8.8</v>
      </c>
      <c r="J86" s="5">
        <f>MAX(费率与参数!$B$4,CEILING(I86/费率与参数!$B$2,费率与参数!$B$3))</f>
        <v>880</v>
      </c>
      <c r="K86" s="8">
        <f>J86*费率与参数!$B$2</f>
        <v>8.8</v>
      </c>
      <c r="L86" s="9">
        <f t="shared" si="1"/>
        <v>0</v>
      </c>
    </row>
    <row r="87" spans="1:12">
      <c r="A87" s="4" t="s">
        <v>57</v>
      </c>
      <c r="B87" s="4" t="s">
        <v>58</v>
      </c>
      <c r="C87" s="4" t="s">
        <v>107</v>
      </c>
      <c r="D87" s="4" t="s">
        <v>64</v>
      </c>
      <c r="E87" s="4">
        <v>12</v>
      </c>
      <c r="F87" s="5">
        <v>0</v>
      </c>
      <c r="G87" s="4" t="s">
        <v>108</v>
      </c>
      <c r="H87" s="5" t="s">
        <v>103</v>
      </c>
      <c r="I87" s="6">
        <f>E87*VLOOKUP("minimax-h3|MiniMax官方|2k",费率与参数!$A$16:$G$36,6,0)</f>
        <v>9.6</v>
      </c>
      <c r="J87" s="5">
        <f>MAX(费率与参数!$B$4,CEILING(I87/费率与参数!$B$2,费率与参数!$B$3))</f>
        <v>960</v>
      </c>
      <c r="K87" s="8">
        <f>J87*费率与参数!$B$2</f>
        <v>9.6</v>
      </c>
      <c r="L87" s="9">
        <f t="shared" si="1"/>
        <v>0</v>
      </c>
    </row>
    <row r="88" spans="1:12">
      <c r="A88" s="4" t="s">
        <v>57</v>
      </c>
      <c r="B88" s="4" t="s">
        <v>58</v>
      </c>
      <c r="C88" s="4" t="s">
        <v>107</v>
      </c>
      <c r="D88" s="4" t="s">
        <v>64</v>
      </c>
      <c r="E88" s="4">
        <v>13</v>
      </c>
      <c r="F88" s="5">
        <v>0</v>
      </c>
      <c r="G88" s="4" t="s">
        <v>108</v>
      </c>
      <c r="H88" s="5" t="s">
        <v>103</v>
      </c>
      <c r="I88" s="6">
        <f>E88*VLOOKUP("minimax-h3|MiniMax官方|2k",费率与参数!$A$16:$G$36,6,0)</f>
        <v>10.4</v>
      </c>
      <c r="J88" s="5">
        <f>MAX(费率与参数!$B$4,CEILING(I88/费率与参数!$B$2,费率与参数!$B$3))</f>
        <v>1040</v>
      </c>
      <c r="K88" s="8">
        <f>J88*费率与参数!$B$2</f>
        <v>10.4</v>
      </c>
      <c r="L88" s="9">
        <f t="shared" si="1"/>
        <v>0</v>
      </c>
    </row>
    <row r="89" spans="1:12">
      <c r="A89" s="4" t="s">
        <v>57</v>
      </c>
      <c r="B89" s="4" t="s">
        <v>58</v>
      </c>
      <c r="C89" s="4" t="s">
        <v>107</v>
      </c>
      <c r="D89" s="4" t="s">
        <v>64</v>
      </c>
      <c r="E89" s="4">
        <v>14</v>
      </c>
      <c r="F89" s="5">
        <v>0</v>
      </c>
      <c r="G89" s="4" t="s">
        <v>108</v>
      </c>
      <c r="H89" s="5" t="s">
        <v>103</v>
      </c>
      <c r="I89" s="6">
        <f>E89*VLOOKUP("minimax-h3|MiniMax官方|2k",费率与参数!$A$16:$G$36,6,0)</f>
        <v>11.2</v>
      </c>
      <c r="J89" s="5">
        <f>MAX(费率与参数!$B$4,CEILING(I89/费率与参数!$B$2,费率与参数!$B$3))</f>
        <v>1120</v>
      </c>
      <c r="K89" s="8">
        <f>J89*费率与参数!$B$2</f>
        <v>11.2</v>
      </c>
      <c r="L89" s="9">
        <f t="shared" si="1"/>
        <v>0</v>
      </c>
    </row>
    <row r="90" spans="1:12">
      <c r="A90" s="4" t="s">
        <v>57</v>
      </c>
      <c r="B90" s="4" t="s">
        <v>58</v>
      </c>
      <c r="C90" s="4" t="s">
        <v>107</v>
      </c>
      <c r="D90" s="4" t="s">
        <v>64</v>
      </c>
      <c r="E90" s="4">
        <v>15</v>
      </c>
      <c r="F90" s="5">
        <v>0</v>
      </c>
      <c r="G90" s="4" t="s">
        <v>108</v>
      </c>
      <c r="H90" s="5" t="s">
        <v>103</v>
      </c>
      <c r="I90" s="6">
        <f>E90*VLOOKUP("minimax-h3|MiniMax官方|2k",费率与参数!$A$16:$G$36,6,0)</f>
        <v>12</v>
      </c>
      <c r="J90" s="5">
        <f>MAX(费率与参数!$B$4,CEILING(I90/费率与参数!$B$2,费率与参数!$B$3))</f>
        <v>1200</v>
      </c>
      <c r="K90" s="8">
        <f>J90*费率与参数!$B$2</f>
        <v>12</v>
      </c>
      <c r="L90" s="9">
        <f t="shared" si="1"/>
        <v>0</v>
      </c>
    </row>
    <row r="91" spans="1:12">
      <c r="A91" s="4" t="s">
        <v>67</v>
      </c>
      <c r="B91" s="4" t="s">
        <v>58</v>
      </c>
      <c r="C91" s="4" t="s">
        <v>109</v>
      </c>
      <c r="D91" s="4" t="s">
        <v>27</v>
      </c>
      <c r="E91" s="4">
        <v>5</v>
      </c>
      <c r="F91" s="5">
        <v>0</v>
      </c>
      <c r="G91" s="4" t="s">
        <v>108</v>
      </c>
      <c r="H91" s="5" t="s">
        <v>103</v>
      </c>
      <c r="I91" s="6">
        <f>E91*VLOOKUP("minimax-h3-max|MiniMax官方|480p",费率与参数!$A$16:$G$36,6,0)</f>
        <v>2.5</v>
      </c>
      <c r="J91" s="5">
        <f>MAX(费率与参数!$B$4,CEILING(I91/费率与参数!$B$2,费率与参数!$B$3))</f>
        <v>250</v>
      </c>
      <c r="K91" s="8">
        <f>J91*费率与参数!$B$2</f>
        <v>2.5</v>
      </c>
      <c r="L91" s="9">
        <f t="shared" si="1"/>
        <v>0</v>
      </c>
    </row>
    <row r="92" spans="1:12">
      <c r="A92" s="4" t="s">
        <v>67</v>
      </c>
      <c r="B92" s="4" t="s">
        <v>58</v>
      </c>
      <c r="C92" s="4" t="s">
        <v>109</v>
      </c>
      <c r="D92" s="4" t="s">
        <v>27</v>
      </c>
      <c r="E92" s="4">
        <v>6</v>
      </c>
      <c r="F92" s="5">
        <v>0</v>
      </c>
      <c r="G92" s="4" t="s">
        <v>108</v>
      </c>
      <c r="H92" s="5" t="s">
        <v>103</v>
      </c>
      <c r="I92" s="6">
        <f>E92*VLOOKUP("minimax-h3-max|MiniMax官方|480p",费率与参数!$A$16:$G$36,6,0)</f>
        <v>3</v>
      </c>
      <c r="J92" s="5">
        <f>MAX(费率与参数!$B$4,CEILING(I92/费率与参数!$B$2,费率与参数!$B$3))</f>
        <v>300</v>
      </c>
      <c r="K92" s="8">
        <f>J92*费率与参数!$B$2</f>
        <v>3</v>
      </c>
      <c r="L92" s="9">
        <f t="shared" si="1"/>
        <v>0</v>
      </c>
    </row>
    <row r="93" spans="1:12">
      <c r="A93" s="4" t="s">
        <v>67</v>
      </c>
      <c r="B93" s="4" t="s">
        <v>58</v>
      </c>
      <c r="C93" s="4" t="s">
        <v>109</v>
      </c>
      <c r="D93" s="4" t="s">
        <v>27</v>
      </c>
      <c r="E93" s="4">
        <v>7</v>
      </c>
      <c r="F93" s="5">
        <v>0</v>
      </c>
      <c r="G93" s="4" t="s">
        <v>108</v>
      </c>
      <c r="H93" s="5" t="s">
        <v>103</v>
      </c>
      <c r="I93" s="6">
        <f>E93*VLOOKUP("minimax-h3-max|MiniMax官方|480p",费率与参数!$A$16:$G$36,6,0)</f>
        <v>3.5</v>
      </c>
      <c r="J93" s="5">
        <f>MAX(费率与参数!$B$4,CEILING(I93/费率与参数!$B$2,费率与参数!$B$3))</f>
        <v>350</v>
      </c>
      <c r="K93" s="8">
        <f>J93*费率与参数!$B$2</f>
        <v>3.5</v>
      </c>
      <c r="L93" s="9">
        <f t="shared" si="1"/>
        <v>0</v>
      </c>
    </row>
    <row r="94" spans="1:12">
      <c r="A94" s="4" t="s">
        <v>67</v>
      </c>
      <c r="B94" s="4" t="s">
        <v>58</v>
      </c>
      <c r="C94" s="4" t="s">
        <v>109</v>
      </c>
      <c r="D94" s="4" t="s">
        <v>27</v>
      </c>
      <c r="E94" s="4">
        <v>8</v>
      </c>
      <c r="F94" s="5">
        <v>0</v>
      </c>
      <c r="G94" s="4" t="s">
        <v>108</v>
      </c>
      <c r="H94" s="5" t="s">
        <v>103</v>
      </c>
      <c r="I94" s="6">
        <f>E94*VLOOKUP("minimax-h3-max|MiniMax官方|480p",费率与参数!$A$16:$G$36,6,0)</f>
        <v>4</v>
      </c>
      <c r="J94" s="5">
        <f>MAX(费率与参数!$B$4,CEILING(I94/费率与参数!$B$2,费率与参数!$B$3))</f>
        <v>400</v>
      </c>
      <c r="K94" s="8">
        <f>J94*费率与参数!$B$2</f>
        <v>4</v>
      </c>
      <c r="L94" s="9">
        <f t="shared" si="1"/>
        <v>0</v>
      </c>
    </row>
    <row r="95" spans="1:12">
      <c r="A95" s="4" t="s">
        <v>67</v>
      </c>
      <c r="B95" s="4" t="s">
        <v>58</v>
      </c>
      <c r="C95" s="4" t="s">
        <v>109</v>
      </c>
      <c r="D95" s="4" t="s">
        <v>27</v>
      </c>
      <c r="E95" s="4">
        <v>9</v>
      </c>
      <c r="F95" s="5">
        <v>0</v>
      </c>
      <c r="G95" s="4" t="s">
        <v>108</v>
      </c>
      <c r="H95" s="5" t="s">
        <v>103</v>
      </c>
      <c r="I95" s="6">
        <f>E95*VLOOKUP("minimax-h3-max|MiniMax官方|480p",费率与参数!$A$16:$G$36,6,0)</f>
        <v>4.5</v>
      </c>
      <c r="J95" s="5">
        <f>MAX(费率与参数!$B$4,CEILING(I95/费率与参数!$B$2,费率与参数!$B$3))</f>
        <v>450</v>
      </c>
      <c r="K95" s="8">
        <f>J95*费率与参数!$B$2</f>
        <v>4.5</v>
      </c>
      <c r="L95" s="9">
        <f t="shared" si="1"/>
        <v>0</v>
      </c>
    </row>
    <row r="96" spans="1:12">
      <c r="A96" s="4" t="s">
        <v>67</v>
      </c>
      <c r="B96" s="4" t="s">
        <v>58</v>
      </c>
      <c r="C96" s="4" t="s">
        <v>109</v>
      </c>
      <c r="D96" s="4" t="s">
        <v>27</v>
      </c>
      <c r="E96" s="4">
        <v>10</v>
      </c>
      <c r="F96" s="5">
        <v>0</v>
      </c>
      <c r="G96" s="4" t="s">
        <v>108</v>
      </c>
      <c r="H96" s="5" t="s">
        <v>103</v>
      </c>
      <c r="I96" s="6">
        <f>E96*VLOOKUP("minimax-h3-max|MiniMax官方|480p",费率与参数!$A$16:$G$36,6,0)</f>
        <v>5</v>
      </c>
      <c r="J96" s="5">
        <f>MAX(费率与参数!$B$4,CEILING(I96/费率与参数!$B$2,费率与参数!$B$3))</f>
        <v>500</v>
      </c>
      <c r="K96" s="8">
        <f>J96*费率与参数!$B$2</f>
        <v>5</v>
      </c>
      <c r="L96" s="9">
        <f t="shared" si="1"/>
        <v>0</v>
      </c>
    </row>
    <row r="97" spans="1:12">
      <c r="A97" s="4" t="s">
        <v>67</v>
      </c>
      <c r="B97" s="4" t="s">
        <v>58</v>
      </c>
      <c r="C97" s="4" t="s">
        <v>109</v>
      </c>
      <c r="D97" s="4" t="s">
        <v>27</v>
      </c>
      <c r="E97" s="4">
        <v>11</v>
      </c>
      <c r="F97" s="5">
        <v>0</v>
      </c>
      <c r="G97" s="4" t="s">
        <v>108</v>
      </c>
      <c r="H97" s="5" t="s">
        <v>103</v>
      </c>
      <c r="I97" s="6">
        <f>E97*VLOOKUP("minimax-h3-max|MiniMax官方|480p",费率与参数!$A$16:$G$36,6,0)</f>
        <v>5.5</v>
      </c>
      <c r="J97" s="5">
        <f>MAX(费率与参数!$B$4,CEILING(I97/费率与参数!$B$2,费率与参数!$B$3))</f>
        <v>550</v>
      </c>
      <c r="K97" s="8">
        <f>J97*费率与参数!$B$2</f>
        <v>5.5</v>
      </c>
      <c r="L97" s="9">
        <f t="shared" si="1"/>
        <v>0</v>
      </c>
    </row>
    <row r="98" spans="1:12">
      <c r="A98" s="4" t="s">
        <v>67</v>
      </c>
      <c r="B98" s="4" t="s">
        <v>58</v>
      </c>
      <c r="C98" s="4" t="s">
        <v>109</v>
      </c>
      <c r="D98" s="4" t="s">
        <v>27</v>
      </c>
      <c r="E98" s="4">
        <v>12</v>
      </c>
      <c r="F98" s="5">
        <v>0</v>
      </c>
      <c r="G98" s="4" t="s">
        <v>108</v>
      </c>
      <c r="H98" s="5" t="s">
        <v>103</v>
      </c>
      <c r="I98" s="6">
        <f>E98*VLOOKUP("minimax-h3-max|MiniMax官方|480p",费率与参数!$A$16:$G$36,6,0)</f>
        <v>6</v>
      </c>
      <c r="J98" s="5">
        <f>MAX(费率与参数!$B$4,CEILING(I98/费率与参数!$B$2,费率与参数!$B$3))</f>
        <v>600</v>
      </c>
      <c r="K98" s="8">
        <f>J98*费率与参数!$B$2</f>
        <v>6</v>
      </c>
      <c r="L98" s="9">
        <f t="shared" si="1"/>
        <v>0</v>
      </c>
    </row>
    <row r="99" spans="1:12">
      <c r="A99" s="4" t="s">
        <v>67</v>
      </c>
      <c r="B99" s="4" t="s">
        <v>58</v>
      </c>
      <c r="C99" s="4" t="s">
        <v>109</v>
      </c>
      <c r="D99" s="4" t="s">
        <v>27</v>
      </c>
      <c r="E99" s="4">
        <v>13</v>
      </c>
      <c r="F99" s="5">
        <v>0</v>
      </c>
      <c r="G99" s="4" t="s">
        <v>108</v>
      </c>
      <c r="H99" s="5" t="s">
        <v>103</v>
      </c>
      <c r="I99" s="6">
        <f>E99*VLOOKUP("minimax-h3-max|MiniMax官方|480p",费率与参数!$A$16:$G$36,6,0)</f>
        <v>6.5</v>
      </c>
      <c r="J99" s="5">
        <f>MAX(费率与参数!$B$4,CEILING(I99/费率与参数!$B$2,费率与参数!$B$3))</f>
        <v>650</v>
      </c>
      <c r="K99" s="8">
        <f>J99*费率与参数!$B$2</f>
        <v>6.5</v>
      </c>
      <c r="L99" s="9">
        <f t="shared" si="1"/>
        <v>0</v>
      </c>
    </row>
    <row r="100" spans="1:12">
      <c r="A100" s="4" t="s">
        <v>67</v>
      </c>
      <c r="B100" s="4" t="s">
        <v>58</v>
      </c>
      <c r="C100" s="4" t="s">
        <v>109</v>
      </c>
      <c r="D100" s="4" t="s">
        <v>27</v>
      </c>
      <c r="E100" s="4">
        <v>14</v>
      </c>
      <c r="F100" s="5">
        <v>0</v>
      </c>
      <c r="G100" s="4" t="s">
        <v>108</v>
      </c>
      <c r="H100" s="5" t="s">
        <v>103</v>
      </c>
      <c r="I100" s="6">
        <f>E100*VLOOKUP("minimax-h3-max|MiniMax官方|480p",费率与参数!$A$16:$G$36,6,0)</f>
        <v>7</v>
      </c>
      <c r="J100" s="5">
        <f>MAX(费率与参数!$B$4,CEILING(I100/费率与参数!$B$2,费率与参数!$B$3))</f>
        <v>700</v>
      </c>
      <c r="K100" s="8">
        <f>J100*费率与参数!$B$2</f>
        <v>7</v>
      </c>
      <c r="L100" s="9">
        <f t="shared" si="1"/>
        <v>0</v>
      </c>
    </row>
    <row r="101" spans="1:12">
      <c r="A101" s="4" t="s">
        <v>67</v>
      </c>
      <c r="B101" s="4" t="s">
        <v>58</v>
      </c>
      <c r="C101" s="4" t="s">
        <v>109</v>
      </c>
      <c r="D101" s="4" t="s">
        <v>27</v>
      </c>
      <c r="E101" s="4">
        <v>15</v>
      </c>
      <c r="F101" s="5">
        <v>0</v>
      </c>
      <c r="G101" s="4" t="s">
        <v>108</v>
      </c>
      <c r="H101" s="5" t="s">
        <v>103</v>
      </c>
      <c r="I101" s="6">
        <f>E101*VLOOKUP("minimax-h3-max|MiniMax官方|480p",费率与参数!$A$16:$G$36,6,0)</f>
        <v>7.5</v>
      </c>
      <c r="J101" s="5">
        <f>MAX(费率与参数!$B$4,CEILING(I101/费率与参数!$B$2,费率与参数!$B$3))</f>
        <v>750</v>
      </c>
      <c r="K101" s="8">
        <f>J101*费率与参数!$B$2</f>
        <v>7.5</v>
      </c>
      <c r="L101" s="9">
        <f t="shared" si="1"/>
        <v>0</v>
      </c>
    </row>
    <row r="102" spans="1:12">
      <c r="A102" s="4" t="s">
        <v>67</v>
      </c>
      <c r="B102" s="4" t="s">
        <v>58</v>
      </c>
      <c r="C102" s="4" t="s">
        <v>109</v>
      </c>
      <c r="D102" s="4" t="s">
        <v>59</v>
      </c>
      <c r="E102" s="4">
        <v>5</v>
      </c>
      <c r="F102" s="5">
        <v>0</v>
      </c>
      <c r="G102" s="4" t="s">
        <v>108</v>
      </c>
      <c r="H102" s="5" t="s">
        <v>103</v>
      </c>
      <c r="I102" s="6">
        <f>E102*VLOOKUP("minimax-h3-max|MiniMax官方|768p",费率与参数!$A$16:$G$36,6,0)</f>
        <v>2.5</v>
      </c>
      <c r="J102" s="5">
        <f>MAX(费率与参数!$B$4,CEILING(I102/费率与参数!$B$2,费率与参数!$B$3))</f>
        <v>250</v>
      </c>
      <c r="K102" s="8">
        <f>J102*费率与参数!$B$2</f>
        <v>2.5</v>
      </c>
      <c r="L102" s="9">
        <f t="shared" si="1"/>
        <v>0</v>
      </c>
    </row>
    <row r="103" spans="1:12">
      <c r="A103" s="4" t="s">
        <v>67</v>
      </c>
      <c r="B103" s="4" t="s">
        <v>58</v>
      </c>
      <c r="C103" s="4" t="s">
        <v>109</v>
      </c>
      <c r="D103" s="4" t="s">
        <v>59</v>
      </c>
      <c r="E103" s="4">
        <v>6</v>
      </c>
      <c r="F103" s="5">
        <v>0</v>
      </c>
      <c r="G103" s="4" t="s">
        <v>108</v>
      </c>
      <c r="H103" s="5" t="s">
        <v>103</v>
      </c>
      <c r="I103" s="6">
        <f>E103*VLOOKUP("minimax-h3-max|MiniMax官方|768p",费率与参数!$A$16:$G$36,6,0)</f>
        <v>3</v>
      </c>
      <c r="J103" s="5">
        <f>MAX(费率与参数!$B$4,CEILING(I103/费率与参数!$B$2,费率与参数!$B$3))</f>
        <v>300</v>
      </c>
      <c r="K103" s="8">
        <f>J103*费率与参数!$B$2</f>
        <v>3</v>
      </c>
      <c r="L103" s="9">
        <f t="shared" si="1"/>
        <v>0</v>
      </c>
    </row>
    <row r="104" spans="1:12">
      <c r="A104" s="4" t="s">
        <v>67</v>
      </c>
      <c r="B104" s="4" t="s">
        <v>58</v>
      </c>
      <c r="C104" s="4" t="s">
        <v>109</v>
      </c>
      <c r="D104" s="4" t="s">
        <v>59</v>
      </c>
      <c r="E104" s="4">
        <v>7</v>
      </c>
      <c r="F104" s="5">
        <v>0</v>
      </c>
      <c r="G104" s="4" t="s">
        <v>108</v>
      </c>
      <c r="H104" s="5" t="s">
        <v>103</v>
      </c>
      <c r="I104" s="6">
        <f>E104*VLOOKUP("minimax-h3-max|MiniMax官方|768p",费率与参数!$A$16:$G$36,6,0)</f>
        <v>3.5</v>
      </c>
      <c r="J104" s="5">
        <f>MAX(费率与参数!$B$4,CEILING(I104/费率与参数!$B$2,费率与参数!$B$3))</f>
        <v>350</v>
      </c>
      <c r="K104" s="8">
        <f>J104*费率与参数!$B$2</f>
        <v>3.5</v>
      </c>
      <c r="L104" s="9">
        <f t="shared" si="1"/>
        <v>0</v>
      </c>
    </row>
    <row r="105" spans="1:12">
      <c r="A105" s="4" t="s">
        <v>67</v>
      </c>
      <c r="B105" s="4" t="s">
        <v>58</v>
      </c>
      <c r="C105" s="4" t="s">
        <v>109</v>
      </c>
      <c r="D105" s="4" t="s">
        <v>59</v>
      </c>
      <c r="E105" s="4">
        <v>8</v>
      </c>
      <c r="F105" s="5">
        <v>0</v>
      </c>
      <c r="G105" s="4" t="s">
        <v>108</v>
      </c>
      <c r="H105" s="5" t="s">
        <v>103</v>
      </c>
      <c r="I105" s="6">
        <f>E105*VLOOKUP("minimax-h3-max|MiniMax官方|768p",费率与参数!$A$16:$G$36,6,0)</f>
        <v>4</v>
      </c>
      <c r="J105" s="5">
        <f>MAX(费率与参数!$B$4,CEILING(I105/费率与参数!$B$2,费率与参数!$B$3))</f>
        <v>400</v>
      </c>
      <c r="K105" s="8">
        <f>J105*费率与参数!$B$2</f>
        <v>4</v>
      </c>
      <c r="L105" s="9">
        <f t="shared" si="1"/>
        <v>0</v>
      </c>
    </row>
    <row r="106" spans="1:12">
      <c r="A106" s="4" t="s">
        <v>67</v>
      </c>
      <c r="B106" s="4" t="s">
        <v>58</v>
      </c>
      <c r="C106" s="4" t="s">
        <v>109</v>
      </c>
      <c r="D106" s="4" t="s">
        <v>59</v>
      </c>
      <c r="E106" s="4">
        <v>9</v>
      </c>
      <c r="F106" s="5">
        <v>0</v>
      </c>
      <c r="G106" s="4" t="s">
        <v>108</v>
      </c>
      <c r="H106" s="5" t="s">
        <v>103</v>
      </c>
      <c r="I106" s="6">
        <f>E106*VLOOKUP("minimax-h3-max|MiniMax官方|768p",费率与参数!$A$16:$G$36,6,0)</f>
        <v>4.5</v>
      </c>
      <c r="J106" s="5">
        <f>MAX(费率与参数!$B$4,CEILING(I106/费率与参数!$B$2,费率与参数!$B$3))</f>
        <v>450</v>
      </c>
      <c r="K106" s="8">
        <f>J106*费率与参数!$B$2</f>
        <v>4.5</v>
      </c>
      <c r="L106" s="9">
        <f t="shared" si="1"/>
        <v>0</v>
      </c>
    </row>
    <row r="107" spans="1:12">
      <c r="A107" s="4" t="s">
        <v>67</v>
      </c>
      <c r="B107" s="4" t="s">
        <v>58</v>
      </c>
      <c r="C107" s="4" t="s">
        <v>109</v>
      </c>
      <c r="D107" s="4" t="s">
        <v>59</v>
      </c>
      <c r="E107" s="4">
        <v>10</v>
      </c>
      <c r="F107" s="5">
        <v>0</v>
      </c>
      <c r="G107" s="4" t="s">
        <v>108</v>
      </c>
      <c r="H107" s="5" t="s">
        <v>103</v>
      </c>
      <c r="I107" s="6">
        <f>E107*VLOOKUP("minimax-h3-max|MiniMax官方|768p",费率与参数!$A$16:$G$36,6,0)</f>
        <v>5</v>
      </c>
      <c r="J107" s="5">
        <f>MAX(费率与参数!$B$4,CEILING(I107/费率与参数!$B$2,费率与参数!$B$3))</f>
        <v>500</v>
      </c>
      <c r="K107" s="8">
        <f>J107*费率与参数!$B$2</f>
        <v>5</v>
      </c>
      <c r="L107" s="9">
        <f t="shared" si="1"/>
        <v>0</v>
      </c>
    </row>
    <row r="108" spans="1:12">
      <c r="A108" s="4" t="s">
        <v>67</v>
      </c>
      <c r="B108" s="4" t="s">
        <v>58</v>
      </c>
      <c r="C108" s="4" t="s">
        <v>109</v>
      </c>
      <c r="D108" s="4" t="s">
        <v>59</v>
      </c>
      <c r="E108" s="4">
        <v>11</v>
      </c>
      <c r="F108" s="5">
        <v>0</v>
      </c>
      <c r="G108" s="4" t="s">
        <v>108</v>
      </c>
      <c r="H108" s="5" t="s">
        <v>103</v>
      </c>
      <c r="I108" s="6">
        <f>E108*VLOOKUP("minimax-h3-max|MiniMax官方|768p",费率与参数!$A$16:$G$36,6,0)</f>
        <v>5.5</v>
      </c>
      <c r="J108" s="5">
        <f>MAX(费率与参数!$B$4,CEILING(I108/费率与参数!$B$2,费率与参数!$B$3))</f>
        <v>550</v>
      </c>
      <c r="K108" s="8">
        <f>J108*费率与参数!$B$2</f>
        <v>5.5</v>
      </c>
      <c r="L108" s="9">
        <f t="shared" si="1"/>
        <v>0</v>
      </c>
    </row>
    <row r="109" spans="1:12">
      <c r="A109" s="4" t="s">
        <v>67</v>
      </c>
      <c r="B109" s="4" t="s">
        <v>58</v>
      </c>
      <c r="C109" s="4" t="s">
        <v>109</v>
      </c>
      <c r="D109" s="4" t="s">
        <v>59</v>
      </c>
      <c r="E109" s="4">
        <v>12</v>
      </c>
      <c r="F109" s="5">
        <v>0</v>
      </c>
      <c r="G109" s="4" t="s">
        <v>108</v>
      </c>
      <c r="H109" s="5" t="s">
        <v>103</v>
      </c>
      <c r="I109" s="6">
        <f>E109*VLOOKUP("minimax-h3-max|MiniMax官方|768p",费率与参数!$A$16:$G$36,6,0)</f>
        <v>6</v>
      </c>
      <c r="J109" s="5">
        <f>MAX(费率与参数!$B$4,CEILING(I109/费率与参数!$B$2,费率与参数!$B$3))</f>
        <v>600</v>
      </c>
      <c r="K109" s="8">
        <f>J109*费率与参数!$B$2</f>
        <v>6</v>
      </c>
      <c r="L109" s="9">
        <f t="shared" si="1"/>
        <v>0</v>
      </c>
    </row>
    <row r="110" spans="1:12">
      <c r="A110" s="4" t="s">
        <v>67</v>
      </c>
      <c r="B110" s="4" t="s">
        <v>58</v>
      </c>
      <c r="C110" s="4" t="s">
        <v>109</v>
      </c>
      <c r="D110" s="4" t="s">
        <v>59</v>
      </c>
      <c r="E110" s="4">
        <v>13</v>
      </c>
      <c r="F110" s="5">
        <v>0</v>
      </c>
      <c r="G110" s="4" t="s">
        <v>108</v>
      </c>
      <c r="H110" s="5" t="s">
        <v>103</v>
      </c>
      <c r="I110" s="6">
        <f>E110*VLOOKUP("minimax-h3-max|MiniMax官方|768p",费率与参数!$A$16:$G$36,6,0)</f>
        <v>6.5</v>
      </c>
      <c r="J110" s="5">
        <f>MAX(费率与参数!$B$4,CEILING(I110/费率与参数!$B$2,费率与参数!$B$3))</f>
        <v>650</v>
      </c>
      <c r="K110" s="8">
        <f>J110*费率与参数!$B$2</f>
        <v>6.5</v>
      </c>
      <c r="L110" s="9">
        <f t="shared" si="1"/>
        <v>0</v>
      </c>
    </row>
    <row r="111" spans="1:12">
      <c r="A111" s="4" t="s">
        <v>67</v>
      </c>
      <c r="B111" s="4" t="s">
        <v>58</v>
      </c>
      <c r="C111" s="4" t="s">
        <v>109</v>
      </c>
      <c r="D111" s="4" t="s">
        <v>59</v>
      </c>
      <c r="E111" s="4">
        <v>14</v>
      </c>
      <c r="F111" s="5">
        <v>0</v>
      </c>
      <c r="G111" s="4" t="s">
        <v>108</v>
      </c>
      <c r="H111" s="5" t="s">
        <v>103</v>
      </c>
      <c r="I111" s="6">
        <f>E111*VLOOKUP("minimax-h3-max|MiniMax官方|768p",费率与参数!$A$16:$G$36,6,0)</f>
        <v>7</v>
      </c>
      <c r="J111" s="5">
        <f>MAX(费率与参数!$B$4,CEILING(I111/费率与参数!$B$2,费率与参数!$B$3))</f>
        <v>700</v>
      </c>
      <c r="K111" s="8">
        <f>J111*费率与参数!$B$2</f>
        <v>7</v>
      </c>
      <c r="L111" s="9">
        <f t="shared" si="1"/>
        <v>0</v>
      </c>
    </row>
    <row r="112" spans="1:12">
      <c r="A112" s="4" t="s">
        <v>67</v>
      </c>
      <c r="B112" s="4" t="s">
        <v>58</v>
      </c>
      <c r="C112" s="4" t="s">
        <v>109</v>
      </c>
      <c r="D112" s="4" t="s">
        <v>59</v>
      </c>
      <c r="E112" s="4">
        <v>15</v>
      </c>
      <c r="F112" s="5">
        <v>0</v>
      </c>
      <c r="G112" s="4" t="s">
        <v>108</v>
      </c>
      <c r="H112" s="5" t="s">
        <v>103</v>
      </c>
      <c r="I112" s="6">
        <f>E112*VLOOKUP("minimax-h3-max|MiniMax官方|768p",费率与参数!$A$16:$G$36,6,0)</f>
        <v>7.5</v>
      </c>
      <c r="J112" s="5">
        <f>MAX(费率与参数!$B$4,CEILING(I112/费率与参数!$B$2,费率与参数!$B$3))</f>
        <v>750</v>
      </c>
      <c r="K112" s="8">
        <f>J112*费率与参数!$B$2</f>
        <v>7.5</v>
      </c>
      <c r="L112" s="9">
        <f t="shared" si="1"/>
        <v>0</v>
      </c>
    </row>
    <row r="113" spans="1:12">
      <c r="A113" s="4" t="s">
        <v>79</v>
      </c>
      <c r="B113" s="4" t="s">
        <v>80</v>
      </c>
      <c r="C113" s="4" t="s">
        <v>110</v>
      </c>
      <c r="D113" s="4" t="s">
        <v>27</v>
      </c>
      <c r="E113" s="4">
        <v>5</v>
      </c>
      <c r="F113" s="5">
        <v>0</v>
      </c>
      <c r="G113" s="4" t="s">
        <v>108</v>
      </c>
      <c r="H113" s="5" t="s">
        <v>103</v>
      </c>
      <c r="I113" s="6">
        <f>(E113+F113)*VLOOKUP("wan3.0-video|百炼（北京）|480p",费率与参数!$A$16:$G$36,6,0)</f>
        <v>1.5</v>
      </c>
      <c r="J113" s="5">
        <f>MAX(费率与参数!$B$4,CEILING(I113/费率与参数!$B$2,费率与参数!$B$3))</f>
        <v>150</v>
      </c>
      <c r="K113" s="8">
        <f>J113*费率与参数!$B$2</f>
        <v>1.5</v>
      </c>
      <c r="L113" s="9">
        <f t="shared" si="1"/>
        <v>0</v>
      </c>
    </row>
    <row r="114" spans="1:12">
      <c r="A114" s="4" t="s">
        <v>79</v>
      </c>
      <c r="B114" s="4" t="s">
        <v>80</v>
      </c>
      <c r="C114" s="4" t="s">
        <v>110</v>
      </c>
      <c r="D114" s="4" t="s">
        <v>27</v>
      </c>
      <c r="E114" s="4">
        <v>10</v>
      </c>
      <c r="F114" s="5">
        <v>0</v>
      </c>
      <c r="G114" s="4" t="s">
        <v>108</v>
      </c>
      <c r="H114" s="5" t="s">
        <v>103</v>
      </c>
      <c r="I114" s="6">
        <f>(E114+F114)*VLOOKUP("wan3.0-video|百炼（北京）|480p",费率与参数!$A$16:$G$36,6,0)</f>
        <v>3</v>
      </c>
      <c r="J114" s="5">
        <f>MAX(费率与参数!$B$4,CEILING(I114/费率与参数!$B$2,费率与参数!$B$3))</f>
        <v>300</v>
      </c>
      <c r="K114" s="8">
        <f>J114*费率与参数!$B$2</f>
        <v>3</v>
      </c>
      <c r="L114" s="9">
        <f t="shared" si="1"/>
        <v>0</v>
      </c>
    </row>
    <row r="115" spans="1:12">
      <c r="A115" s="4" t="s">
        <v>79</v>
      </c>
      <c r="B115" s="4" t="s">
        <v>80</v>
      </c>
      <c r="C115" s="4" t="s">
        <v>110</v>
      </c>
      <c r="D115" s="4" t="s">
        <v>27</v>
      </c>
      <c r="E115" s="4">
        <v>15</v>
      </c>
      <c r="F115" s="5">
        <v>0</v>
      </c>
      <c r="G115" s="4" t="s">
        <v>108</v>
      </c>
      <c r="H115" s="5" t="s">
        <v>103</v>
      </c>
      <c r="I115" s="6">
        <f>(E115+F115)*VLOOKUP("wan3.0-video|百炼（北京）|480p",费率与参数!$A$16:$G$36,6,0)</f>
        <v>4.5</v>
      </c>
      <c r="J115" s="5">
        <f>MAX(费率与参数!$B$4,CEILING(I115/费率与参数!$B$2,费率与参数!$B$3))</f>
        <v>450</v>
      </c>
      <c r="K115" s="8">
        <f>J115*费率与参数!$B$2</f>
        <v>4.5</v>
      </c>
      <c r="L115" s="9">
        <f t="shared" si="1"/>
        <v>0</v>
      </c>
    </row>
    <row r="116" spans="1:12">
      <c r="A116" s="4" t="s">
        <v>79</v>
      </c>
      <c r="B116" s="4" t="s">
        <v>80</v>
      </c>
      <c r="C116" s="4" t="s">
        <v>110</v>
      </c>
      <c r="D116" s="4" t="s">
        <v>27</v>
      </c>
      <c r="E116" s="4">
        <v>20</v>
      </c>
      <c r="F116" s="5">
        <v>0</v>
      </c>
      <c r="G116" s="4" t="s">
        <v>108</v>
      </c>
      <c r="H116" s="5" t="s">
        <v>103</v>
      </c>
      <c r="I116" s="6">
        <f>(E116+F116)*VLOOKUP("wan3.0-video|百炼（北京）|480p",费率与参数!$A$16:$G$36,6,0)</f>
        <v>6</v>
      </c>
      <c r="J116" s="5">
        <f>MAX(费率与参数!$B$4,CEILING(I116/费率与参数!$B$2,费率与参数!$B$3))</f>
        <v>600</v>
      </c>
      <c r="K116" s="8">
        <f>J116*费率与参数!$B$2</f>
        <v>6</v>
      </c>
      <c r="L116" s="9">
        <f t="shared" si="1"/>
        <v>0</v>
      </c>
    </row>
    <row r="117" spans="1:12">
      <c r="A117" s="4" t="s">
        <v>79</v>
      </c>
      <c r="B117" s="4" t="s">
        <v>80</v>
      </c>
      <c r="C117" s="4" t="s">
        <v>110</v>
      </c>
      <c r="D117" s="4" t="s">
        <v>27</v>
      </c>
      <c r="E117" s="4">
        <v>30</v>
      </c>
      <c r="F117" s="5">
        <v>0</v>
      </c>
      <c r="G117" s="4" t="s">
        <v>108</v>
      </c>
      <c r="H117" s="5" t="s">
        <v>103</v>
      </c>
      <c r="I117" s="6">
        <f>(E117+F117)*VLOOKUP("wan3.0-video|百炼（北京）|480p",费率与参数!$A$16:$G$36,6,0)</f>
        <v>9</v>
      </c>
      <c r="J117" s="5">
        <f>MAX(费率与参数!$B$4,CEILING(I117/费率与参数!$B$2,费率与参数!$B$3))</f>
        <v>900</v>
      </c>
      <c r="K117" s="8">
        <f>J117*费率与参数!$B$2</f>
        <v>9</v>
      </c>
      <c r="L117" s="9">
        <f t="shared" si="1"/>
        <v>0</v>
      </c>
    </row>
    <row r="118" spans="1:12">
      <c r="A118" s="4" t="s">
        <v>79</v>
      </c>
      <c r="B118" s="4" t="s">
        <v>80</v>
      </c>
      <c r="C118" s="4" t="s">
        <v>110</v>
      </c>
      <c r="D118" s="4" t="s">
        <v>28</v>
      </c>
      <c r="E118" s="4">
        <v>5</v>
      </c>
      <c r="F118" s="5">
        <v>0</v>
      </c>
      <c r="G118" s="4" t="s">
        <v>108</v>
      </c>
      <c r="H118" s="5" t="s">
        <v>103</v>
      </c>
      <c r="I118" s="6">
        <f>(E118+F118)*VLOOKUP("wan3.0-video|百炼（北京）|720p",费率与参数!$A$16:$G$36,6,0)</f>
        <v>3</v>
      </c>
      <c r="J118" s="5">
        <f>MAX(费率与参数!$B$4,CEILING(I118/费率与参数!$B$2,费率与参数!$B$3))</f>
        <v>300</v>
      </c>
      <c r="K118" s="8">
        <f>J118*费率与参数!$B$2</f>
        <v>3</v>
      </c>
      <c r="L118" s="9">
        <f t="shared" si="1"/>
        <v>0</v>
      </c>
    </row>
    <row r="119" spans="1:12">
      <c r="A119" s="4" t="s">
        <v>79</v>
      </c>
      <c r="B119" s="4" t="s">
        <v>80</v>
      </c>
      <c r="C119" s="4" t="s">
        <v>110</v>
      </c>
      <c r="D119" s="4" t="s">
        <v>28</v>
      </c>
      <c r="E119" s="4">
        <v>10</v>
      </c>
      <c r="F119" s="5">
        <v>0</v>
      </c>
      <c r="G119" s="4" t="s">
        <v>108</v>
      </c>
      <c r="H119" s="5" t="s">
        <v>103</v>
      </c>
      <c r="I119" s="6">
        <f>(E119+F119)*VLOOKUP("wan3.0-video|百炼（北京）|720p",费率与参数!$A$16:$G$36,6,0)</f>
        <v>6</v>
      </c>
      <c r="J119" s="5">
        <f>MAX(费率与参数!$B$4,CEILING(I119/费率与参数!$B$2,费率与参数!$B$3))</f>
        <v>600</v>
      </c>
      <c r="K119" s="8">
        <f>J119*费率与参数!$B$2</f>
        <v>6</v>
      </c>
      <c r="L119" s="9">
        <f t="shared" si="1"/>
        <v>0</v>
      </c>
    </row>
    <row r="120" spans="1:12">
      <c r="A120" s="4" t="s">
        <v>79</v>
      </c>
      <c r="B120" s="4" t="s">
        <v>80</v>
      </c>
      <c r="C120" s="4" t="s">
        <v>110</v>
      </c>
      <c r="D120" s="4" t="s">
        <v>28</v>
      </c>
      <c r="E120" s="4">
        <v>15</v>
      </c>
      <c r="F120" s="5">
        <v>0</v>
      </c>
      <c r="G120" s="4" t="s">
        <v>108</v>
      </c>
      <c r="H120" s="5" t="s">
        <v>103</v>
      </c>
      <c r="I120" s="6">
        <f>(E120+F120)*VLOOKUP("wan3.0-video|百炼（北京）|720p",费率与参数!$A$16:$G$36,6,0)</f>
        <v>9</v>
      </c>
      <c r="J120" s="5">
        <f>MAX(费率与参数!$B$4,CEILING(I120/费率与参数!$B$2,费率与参数!$B$3))</f>
        <v>900</v>
      </c>
      <c r="K120" s="8">
        <f>J120*费率与参数!$B$2</f>
        <v>9</v>
      </c>
      <c r="L120" s="9">
        <f t="shared" si="1"/>
        <v>0</v>
      </c>
    </row>
    <row r="121" spans="1:12">
      <c r="A121" s="4" t="s">
        <v>79</v>
      </c>
      <c r="B121" s="4" t="s">
        <v>80</v>
      </c>
      <c r="C121" s="4" t="s">
        <v>110</v>
      </c>
      <c r="D121" s="4" t="s">
        <v>28</v>
      </c>
      <c r="E121" s="4">
        <v>20</v>
      </c>
      <c r="F121" s="5">
        <v>0</v>
      </c>
      <c r="G121" s="4" t="s">
        <v>108</v>
      </c>
      <c r="H121" s="5" t="s">
        <v>103</v>
      </c>
      <c r="I121" s="6">
        <f>(E121+F121)*VLOOKUP("wan3.0-video|百炼（北京）|720p",费率与参数!$A$16:$G$36,6,0)</f>
        <v>12</v>
      </c>
      <c r="J121" s="5">
        <f>MAX(费率与参数!$B$4,CEILING(I121/费率与参数!$B$2,费率与参数!$B$3))</f>
        <v>1200</v>
      </c>
      <c r="K121" s="8">
        <f>J121*费率与参数!$B$2</f>
        <v>12</v>
      </c>
      <c r="L121" s="9">
        <f t="shared" si="1"/>
        <v>0</v>
      </c>
    </row>
    <row r="122" spans="1:12">
      <c r="A122" s="4" t="s">
        <v>79</v>
      </c>
      <c r="B122" s="4" t="s">
        <v>80</v>
      </c>
      <c r="C122" s="4" t="s">
        <v>110</v>
      </c>
      <c r="D122" s="4" t="s">
        <v>28</v>
      </c>
      <c r="E122" s="4">
        <v>30</v>
      </c>
      <c r="F122" s="5">
        <v>0</v>
      </c>
      <c r="G122" s="4" t="s">
        <v>108</v>
      </c>
      <c r="H122" s="5" t="s">
        <v>103</v>
      </c>
      <c r="I122" s="6">
        <f>(E122+F122)*VLOOKUP("wan3.0-video|百炼（北京）|720p",费率与参数!$A$16:$G$36,6,0)</f>
        <v>18</v>
      </c>
      <c r="J122" s="5">
        <f>MAX(费率与参数!$B$4,CEILING(I122/费率与参数!$B$2,费率与参数!$B$3))</f>
        <v>1800</v>
      </c>
      <c r="K122" s="8">
        <f>J122*费率与参数!$B$2</f>
        <v>18</v>
      </c>
      <c r="L122" s="9">
        <f t="shared" si="1"/>
        <v>0</v>
      </c>
    </row>
    <row r="123" spans="1:12">
      <c r="A123" s="4" t="s">
        <v>79</v>
      </c>
      <c r="B123" s="4" t="s">
        <v>80</v>
      </c>
      <c r="C123" s="4" t="s">
        <v>110</v>
      </c>
      <c r="D123" s="4" t="s">
        <v>29</v>
      </c>
      <c r="E123" s="4">
        <v>5</v>
      </c>
      <c r="F123" s="5">
        <v>0</v>
      </c>
      <c r="G123" s="4" t="s">
        <v>108</v>
      </c>
      <c r="H123" s="5" t="s">
        <v>103</v>
      </c>
      <c r="I123" s="6">
        <f>(E123+F123)*VLOOKUP("wan3.0-video|百炼（北京）|1080p",费率与参数!$A$16:$G$36,6,0)</f>
        <v>6</v>
      </c>
      <c r="J123" s="5">
        <f>MAX(费率与参数!$B$4,CEILING(I123/费率与参数!$B$2,费率与参数!$B$3))</f>
        <v>600</v>
      </c>
      <c r="K123" s="8">
        <f>J123*费率与参数!$B$2</f>
        <v>6</v>
      </c>
      <c r="L123" s="9">
        <f t="shared" si="1"/>
        <v>0</v>
      </c>
    </row>
    <row r="124" spans="1:12">
      <c r="A124" s="4" t="s">
        <v>79</v>
      </c>
      <c r="B124" s="4" t="s">
        <v>80</v>
      </c>
      <c r="C124" s="4" t="s">
        <v>110</v>
      </c>
      <c r="D124" s="4" t="s">
        <v>29</v>
      </c>
      <c r="E124" s="4">
        <v>10</v>
      </c>
      <c r="F124" s="5">
        <v>0</v>
      </c>
      <c r="G124" s="4" t="s">
        <v>108</v>
      </c>
      <c r="H124" s="5" t="s">
        <v>103</v>
      </c>
      <c r="I124" s="6">
        <f>(E124+F124)*VLOOKUP("wan3.0-video|百炼（北京）|1080p",费率与参数!$A$16:$G$36,6,0)</f>
        <v>12</v>
      </c>
      <c r="J124" s="5">
        <f>MAX(费率与参数!$B$4,CEILING(I124/费率与参数!$B$2,费率与参数!$B$3))</f>
        <v>1200</v>
      </c>
      <c r="K124" s="8">
        <f>J124*费率与参数!$B$2</f>
        <v>12</v>
      </c>
      <c r="L124" s="9">
        <f t="shared" si="1"/>
        <v>0</v>
      </c>
    </row>
    <row r="125" spans="1:12">
      <c r="A125" s="4" t="s">
        <v>79</v>
      </c>
      <c r="B125" s="4" t="s">
        <v>80</v>
      </c>
      <c r="C125" s="4" t="s">
        <v>110</v>
      </c>
      <c r="D125" s="4" t="s">
        <v>29</v>
      </c>
      <c r="E125" s="4">
        <v>15</v>
      </c>
      <c r="F125" s="5">
        <v>0</v>
      </c>
      <c r="G125" s="4" t="s">
        <v>108</v>
      </c>
      <c r="H125" s="5" t="s">
        <v>103</v>
      </c>
      <c r="I125" s="6">
        <f>(E125+F125)*VLOOKUP("wan3.0-video|百炼（北京）|1080p",费率与参数!$A$16:$G$36,6,0)</f>
        <v>18</v>
      </c>
      <c r="J125" s="5">
        <f>MAX(费率与参数!$B$4,CEILING(I125/费率与参数!$B$2,费率与参数!$B$3))</f>
        <v>1800</v>
      </c>
      <c r="K125" s="8">
        <f>J125*费率与参数!$B$2</f>
        <v>18</v>
      </c>
      <c r="L125" s="9">
        <f t="shared" si="1"/>
        <v>0</v>
      </c>
    </row>
    <row r="126" spans="1:12">
      <c r="A126" s="4" t="s">
        <v>79</v>
      </c>
      <c r="B126" s="4" t="s">
        <v>80</v>
      </c>
      <c r="C126" s="4" t="s">
        <v>110</v>
      </c>
      <c r="D126" s="4" t="s">
        <v>29</v>
      </c>
      <c r="E126" s="4">
        <v>20</v>
      </c>
      <c r="F126" s="5">
        <v>0</v>
      </c>
      <c r="G126" s="4" t="s">
        <v>108</v>
      </c>
      <c r="H126" s="5" t="s">
        <v>103</v>
      </c>
      <c r="I126" s="6">
        <f>(E126+F126)*VLOOKUP("wan3.0-video|百炼（北京）|1080p",费率与参数!$A$16:$G$36,6,0)</f>
        <v>24</v>
      </c>
      <c r="J126" s="5">
        <f>MAX(费率与参数!$B$4,CEILING(I126/费率与参数!$B$2,费率与参数!$B$3))</f>
        <v>2400</v>
      </c>
      <c r="K126" s="8">
        <f>J126*费率与参数!$B$2</f>
        <v>24</v>
      </c>
      <c r="L126" s="9">
        <f t="shared" si="1"/>
        <v>0</v>
      </c>
    </row>
    <row r="127" spans="1:12">
      <c r="A127" s="4" t="s">
        <v>79</v>
      </c>
      <c r="B127" s="4" t="s">
        <v>80</v>
      </c>
      <c r="C127" s="4" t="s">
        <v>110</v>
      </c>
      <c r="D127" s="4" t="s">
        <v>29</v>
      </c>
      <c r="E127" s="4">
        <v>30</v>
      </c>
      <c r="F127" s="5">
        <v>0</v>
      </c>
      <c r="G127" s="4" t="s">
        <v>108</v>
      </c>
      <c r="H127" s="5" t="s">
        <v>103</v>
      </c>
      <c r="I127" s="6">
        <f>(E127+F127)*VLOOKUP("wan3.0-video|百炼（北京）|1080p",费率与参数!$A$16:$G$36,6,0)</f>
        <v>36</v>
      </c>
      <c r="J127" s="5">
        <f>MAX(费率与参数!$B$4,CEILING(I127/费率与参数!$B$2,费率与参数!$B$3))</f>
        <v>3600</v>
      </c>
      <c r="K127" s="8">
        <f>J127*费率与参数!$B$2</f>
        <v>36</v>
      </c>
      <c r="L127" s="9">
        <f t="shared" si="1"/>
        <v>0</v>
      </c>
    </row>
    <row r="128" spans="1:12">
      <c r="A128" s="4" t="s">
        <v>79</v>
      </c>
      <c r="B128" s="4" t="s">
        <v>87</v>
      </c>
      <c r="C128" s="4" t="s">
        <v>110</v>
      </c>
      <c r="D128" s="4" t="s">
        <v>27</v>
      </c>
      <c r="E128" s="4">
        <v>5</v>
      </c>
      <c r="F128" s="5">
        <v>0</v>
      </c>
      <c r="G128" s="4" t="s">
        <v>108</v>
      </c>
      <c r="H128" s="5" t="s">
        <v>103</v>
      </c>
      <c r="I128" s="6">
        <f>(E128+F128)*VLOOKUP("wan3.0-video|百炼（国际）|480p",费率与参数!$A$16:$G$36,6,0)</f>
        <v>1.87355</v>
      </c>
      <c r="J128" s="5">
        <f>MAX(费率与参数!$B$4,CEILING(I128/费率与参数!$B$2,费率与参数!$B$3))</f>
        <v>188</v>
      </c>
      <c r="K128" s="8">
        <f>J128*费率与参数!$B$2</f>
        <v>1.88</v>
      </c>
      <c r="L128" s="9">
        <f t="shared" si="1"/>
        <v>0.0034308510638299</v>
      </c>
    </row>
    <row r="129" spans="1:12">
      <c r="A129" s="4" t="s">
        <v>79</v>
      </c>
      <c r="B129" s="4" t="s">
        <v>87</v>
      </c>
      <c r="C129" s="4" t="s">
        <v>110</v>
      </c>
      <c r="D129" s="4" t="s">
        <v>27</v>
      </c>
      <c r="E129" s="4">
        <v>10</v>
      </c>
      <c r="F129" s="5">
        <v>0</v>
      </c>
      <c r="G129" s="4" t="s">
        <v>108</v>
      </c>
      <c r="H129" s="5" t="s">
        <v>103</v>
      </c>
      <c r="I129" s="6">
        <f>(E129+F129)*VLOOKUP("wan3.0-video|百炼（国际）|480p",费率与参数!$A$16:$G$36,6,0)</f>
        <v>3.7471</v>
      </c>
      <c r="J129" s="5">
        <f>MAX(费率与参数!$B$4,CEILING(I129/费率与参数!$B$2,费率与参数!$B$3))</f>
        <v>375</v>
      </c>
      <c r="K129" s="8">
        <f>J129*费率与参数!$B$2</f>
        <v>3.75</v>
      </c>
      <c r="L129" s="9">
        <f t="shared" si="1"/>
        <v>0.000773333333333404</v>
      </c>
    </row>
    <row r="130" spans="1:12">
      <c r="A130" s="4" t="s">
        <v>79</v>
      </c>
      <c r="B130" s="4" t="s">
        <v>87</v>
      </c>
      <c r="C130" s="4" t="s">
        <v>110</v>
      </c>
      <c r="D130" s="4" t="s">
        <v>27</v>
      </c>
      <c r="E130" s="4">
        <v>15</v>
      </c>
      <c r="F130" s="5">
        <v>0</v>
      </c>
      <c r="G130" s="4" t="s">
        <v>108</v>
      </c>
      <c r="H130" s="5" t="s">
        <v>103</v>
      </c>
      <c r="I130" s="6">
        <f>(E130+F130)*VLOOKUP("wan3.0-video|百炼（国际）|480p",费率与参数!$A$16:$G$36,6,0)</f>
        <v>5.62065</v>
      </c>
      <c r="J130" s="5">
        <f>MAX(费率与参数!$B$4,CEILING(I130/费率与参数!$B$2,费率与参数!$B$3))</f>
        <v>563</v>
      </c>
      <c r="K130" s="8">
        <f>J130*费率与参数!$B$2</f>
        <v>5.63</v>
      </c>
      <c r="L130" s="9">
        <f t="shared" si="1"/>
        <v>0.00166074600355248</v>
      </c>
    </row>
    <row r="131" spans="1:12">
      <c r="A131" s="4" t="s">
        <v>79</v>
      </c>
      <c r="B131" s="4" t="s">
        <v>87</v>
      </c>
      <c r="C131" s="4" t="s">
        <v>110</v>
      </c>
      <c r="D131" s="4" t="s">
        <v>27</v>
      </c>
      <c r="E131" s="4">
        <v>20</v>
      </c>
      <c r="F131" s="5">
        <v>0</v>
      </c>
      <c r="G131" s="4" t="s">
        <v>108</v>
      </c>
      <c r="H131" s="5" t="s">
        <v>103</v>
      </c>
      <c r="I131" s="6">
        <f>(E131+F131)*VLOOKUP("wan3.0-video|百炼（国际）|480p",费率与参数!$A$16:$G$36,6,0)</f>
        <v>7.4942</v>
      </c>
      <c r="J131" s="5">
        <f>MAX(费率与参数!$B$4,CEILING(I131/费率与参数!$B$2,费率与参数!$B$3))</f>
        <v>750</v>
      </c>
      <c r="K131" s="8">
        <f>J131*费率与参数!$B$2</f>
        <v>7.5</v>
      </c>
      <c r="L131" s="9">
        <f t="shared" si="1"/>
        <v>0.000773333333333404</v>
      </c>
    </row>
    <row r="132" spans="1:12">
      <c r="A132" s="4" t="s">
        <v>79</v>
      </c>
      <c r="B132" s="4" t="s">
        <v>87</v>
      </c>
      <c r="C132" s="4" t="s">
        <v>110</v>
      </c>
      <c r="D132" s="4" t="s">
        <v>27</v>
      </c>
      <c r="E132" s="4">
        <v>30</v>
      </c>
      <c r="F132" s="5">
        <v>0</v>
      </c>
      <c r="G132" s="4" t="s">
        <v>108</v>
      </c>
      <c r="H132" s="5" t="s">
        <v>103</v>
      </c>
      <c r="I132" s="6">
        <f>(E132+F132)*VLOOKUP("wan3.0-video|百炼（国际）|480p",费率与参数!$A$16:$G$36,6,0)</f>
        <v>11.2413</v>
      </c>
      <c r="J132" s="5">
        <f>MAX(费率与参数!$B$4,CEILING(I132/费率与参数!$B$2,费率与参数!$B$3))</f>
        <v>1125</v>
      </c>
      <c r="K132" s="8">
        <f>J132*费率与参数!$B$2</f>
        <v>11.25</v>
      </c>
      <c r="L132" s="9">
        <f t="shared" ref="L132:L172" si="2">IF(K132&gt;0,1-I132/K132,0)</f>
        <v>0.000773333333333404</v>
      </c>
    </row>
    <row r="133" spans="1:12">
      <c r="A133" s="4" t="s">
        <v>79</v>
      </c>
      <c r="B133" s="4" t="s">
        <v>87</v>
      </c>
      <c r="C133" s="4" t="s">
        <v>110</v>
      </c>
      <c r="D133" s="4" t="s">
        <v>28</v>
      </c>
      <c r="E133" s="4">
        <v>5</v>
      </c>
      <c r="F133" s="5">
        <v>0</v>
      </c>
      <c r="G133" s="4" t="s">
        <v>108</v>
      </c>
      <c r="H133" s="5" t="s">
        <v>103</v>
      </c>
      <c r="I133" s="6">
        <f>(E133+F133)*VLOOKUP("wan3.0-video|百炼（国际）|720p",费率与参数!$A$16:$G$36,6,0)</f>
        <v>3.7471</v>
      </c>
      <c r="J133" s="5">
        <f>MAX(费率与参数!$B$4,CEILING(I133/费率与参数!$B$2,费率与参数!$B$3))</f>
        <v>375</v>
      </c>
      <c r="K133" s="8">
        <f>J133*费率与参数!$B$2</f>
        <v>3.75</v>
      </c>
      <c r="L133" s="9">
        <f t="shared" si="2"/>
        <v>0.000773333333333404</v>
      </c>
    </row>
    <row r="134" spans="1:12">
      <c r="A134" s="4" t="s">
        <v>79</v>
      </c>
      <c r="B134" s="4" t="s">
        <v>87</v>
      </c>
      <c r="C134" s="4" t="s">
        <v>110</v>
      </c>
      <c r="D134" s="4" t="s">
        <v>28</v>
      </c>
      <c r="E134" s="4">
        <v>10</v>
      </c>
      <c r="F134" s="5">
        <v>0</v>
      </c>
      <c r="G134" s="4" t="s">
        <v>108</v>
      </c>
      <c r="H134" s="5" t="s">
        <v>103</v>
      </c>
      <c r="I134" s="6">
        <f>(E134+F134)*VLOOKUP("wan3.0-video|百炼（国际）|720p",费率与参数!$A$16:$G$36,6,0)</f>
        <v>7.4942</v>
      </c>
      <c r="J134" s="5">
        <f>MAX(费率与参数!$B$4,CEILING(I134/费率与参数!$B$2,费率与参数!$B$3))</f>
        <v>750</v>
      </c>
      <c r="K134" s="8">
        <f>J134*费率与参数!$B$2</f>
        <v>7.5</v>
      </c>
      <c r="L134" s="9">
        <f t="shared" si="2"/>
        <v>0.000773333333333404</v>
      </c>
    </row>
    <row r="135" spans="1:12">
      <c r="A135" s="4" t="s">
        <v>79</v>
      </c>
      <c r="B135" s="4" t="s">
        <v>87</v>
      </c>
      <c r="C135" s="4" t="s">
        <v>110</v>
      </c>
      <c r="D135" s="4" t="s">
        <v>28</v>
      </c>
      <c r="E135" s="4">
        <v>15</v>
      </c>
      <c r="F135" s="5">
        <v>0</v>
      </c>
      <c r="G135" s="4" t="s">
        <v>108</v>
      </c>
      <c r="H135" s="5" t="s">
        <v>103</v>
      </c>
      <c r="I135" s="6">
        <f>(E135+F135)*VLOOKUP("wan3.0-video|百炼（国际）|720p",费率与参数!$A$16:$G$36,6,0)</f>
        <v>11.2413</v>
      </c>
      <c r="J135" s="5">
        <f>MAX(费率与参数!$B$4,CEILING(I135/费率与参数!$B$2,费率与参数!$B$3))</f>
        <v>1125</v>
      </c>
      <c r="K135" s="8">
        <f>J135*费率与参数!$B$2</f>
        <v>11.25</v>
      </c>
      <c r="L135" s="9">
        <f t="shared" si="2"/>
        <v>0.000773333333333404</v>
      </c>
    </row>
    <row r="136" spans="1:12">
      <c r="A136" s="4" t="s">
        <v>79</v>
      </c>
      <c r="B136" s="4" t="s">
        <v>87</v>
      </c>
      <c r="C136" s="4" t="s">
        <v>110</v>
      </c>
      <c r="D136" s="4" t="s">
        <v>28</v>
      </c>
      <c r="E136" s="4">
        <v>20</v>
      </c>
      <c r="F136" s="5">
        <v>0</v>
      </c>
      <c r="G136" s="4" t="s">
        <v>108</v>
      </c>
      <c r="H136" s="5" t="s">
        <v>103</v>
      </c>
      <c r="I136" s="6">
        <f>(E136+F136)*VLOOKUP("wan3.0-video|百炼（国际）|720p",费率与参数!$A$16:$G$36,6,0)</f>
        <v>14.9884</v>
      </c>
      <c r="J136" s="5">
        <f>MAX(费率与参数!$B$4,CEILING(I136/费率与参数!$B$2,费率与参数!$B$3))</f>
        <v>1499</v>
      </c>
      <c r="K136" s="8">
        <f>J136*费率与参数!$B$2</f>
        <v>14.99</v>
      </c>
      <c r="L136" s="9">
        <f t="shared" si="2"/>
        <v>0.000106737825216863</v>
      </c>
    </row>
    <row r="137" spans="1:12">
      <c r="A137" s="4" t="s">
        <v>79</v>
      </c>
      <c r="B137" s="4" t="s">
        <v>87</v>
      </c>
      <c r="C137" s="4" t="s">
        <v>110</v>
      </c>
      <c r="D137" s="4" t="s">
        <v>28</v>
      </c>
      <c r="E137" s="4">
        <v>30</v>
      </c>
      <c r="F137" s="5">
        <v>0</v>
      </c>
      <c r="G137" s="4" t="s">
        <v>108</v>
      </c>
      <c r="H137" s="5" t="s">
        <v>103</v>
      </c>
      <c r="I137" s="6">
        <f>(E137+F137)*VLOOKUP("wan3.0-video|百炼（国际）|720p",费率与参数!$A$16:$G$36,6,0)</f>
        <v>22.4826</v>
      </c>
      <c r="J137" s="5">
        <f>MAX(费率与参数!$B$4,CEILING(I137/费率与参数!$B$2,费率与参数!$B$3))</f>
        <v>2249</v>
      </c>
      <c r="K137" s="8">
        <f>J137*费率与参数!$B$2</f>
        <v>22.49</v>
      </c>
      <c r="L137" s="9">
        <f t="shared" si="2"/>
        <v>0.000329035126723221</v>
      </c>
    </row>
    <row r="138" spans="1:12">
      <c r="A138" s="4" t="s">
        <v>79</v>
      </c>
      <c r="B138" s="4" t="s">
        <v>87</v>
      </c>
      <c r="C138" s="4" t="s">
        <v>110</v>
      </c>
      <c r="D138" s="4" t="s">
        <v>29</v>
      </c>
      <c r="E138" s="4">
        <v>5</v>
      </c>
      <c r="F138" s="5">
        <v>0</v>
      </c>
      <c r="G138" s="4" t="s">
        <v>108</v>
      </c>
      <c r="H138" s="5" t="s">
        <v>103</v>
      </c>
      <c r="I138" s="6">
        <f>(E138+F138)*VLOOKUP("wan3.0-video|百炼（国际）|1080p",费率与参数!$A$16:$G$36,6,0)</f>
        <v>7.4942</v>
      </c>
      <c r="J138" s="5">
        <f>MAX(费率与参数!$B$4,CEILING(I138/费率与参数!$B$2,费率与参数!$B$3))</f>
        <v>750</v>
      </c>
      <c r="K138" s="8">
        <f>J138*费率与参数!$B$2</f>
        <v>7.5</v>
      </c>
      <c r="L138" s="9">
        <f t="shared" si="2"/>
        <v>0.000773333333333404</v>
      </c>
    </row>
    <row r="139" spans="1:12">
      <c r="A139" s="4" t="s">
        <v>79</v>
      </c>
      <c r="B139" s="4" t="s">
        <v>87</v>
      </c>
      <c r="C139" s="4" t="s">
        <v>110</v>
      </c>
      <c r="D139" s="4" t="s">
        <v>29</v>
      </c>
      <c r="E139" s="4">
        <v>10</v>
      </c>
      <c r="F139" s="5">
        <v>0</v>
      </c>
      <c r="G139" s="4" t="s">
        <v>108</v>
      </c>
      <c r="H139" s="5" t="s">
        <v>103</v>
      </c>
      <c r="I139" s="6">
        <f>(E139+F139)*VLOOKUP("wan3.0-video|百炼（国际）|1080p",费率与参数!$A$16:$G$36,6,0)</f>
        <v>14.9884</v>
      </c>
      <c r="J139" s="5">
        <f>MAX(费率与参数!$B$4,CEILING(I139/费率与参数!$B$2,费率与参数!$B$3))</f>
        <v>1499</v>
      </c>
      <c r="K139" s="8">
        <f>J139*费率与参数!$B$2</f>
        <v>14.99</v>
      </c>
      <c r="L139" s="9">
        <f t="shared" si="2"/>
        <v>0.000106737825216863</v>
      </c>
    </row>
    <row r="140" spans="1:12">
      <c r="A140" s="4" t="s">
        <v>79</v>
      </c>
      <c r="B140" s="4" t="s">
        <v>87</v>
      </c>
      <c r="C140" s="4" t="s">
        <v>110</v>
      </c>
      <c r="D140" s="4" t="s">
        <v>29</v>
      </c>
      <c r="E140" s="4">
        <v>15</v>
      </c>
      <c r="F140" s="5">
        <v>0</v>
      </c>
      <c r="G140" s="4" t="s">
        <v>108</v>
      </c>
      <c r="H140" s="5" t="s">
        <v>103</v>
      </c>
      <c r="I140" s="6">
        <f>(E140+F140)*VLOOKUP("wan3.0-video|百炼（国际）|1080p",费率与参数!$A$16:$G$36,6,0)</f>
        <v>22.4826</v>
      </c>
      <c r="J140" s="5">
        <f>MAX(费率与参数!$B$4,CEILING(I140/费率与参数!$B$2,费率与参数!$B$3))</f>
        <v>2249</v>
      </c>
      <c r="K140" s="8">
        <f>J140*费率与参数!$B$2</f>
        <v>22.49</v>
      </c>
      <c r="L140" s="9">
        <f t="shared" si="2"/>
        <v>0.000329035126723221</v>
      </c>
    </row>
    <row r="141" spans="1:12">
      <c r="A141" s="4" t="s">
        <v>79</v>
      </c>
      <c r="B141" s="4" t="s">
        <v>87</v>
      </c>
      <c r="C141" s="4" t="s">
        <v>110</v>
      </c>
      <c r="D141" s="4" t="s">
        <v>29</v>
      </c>
      <c r="E141" s="4">
        <v>20</v>
      </c>
      <c r="F141" s="5">
        <v>0</v>
      </c>
      <c r="G141" s="4" t="s">
        <v>108</v>
      </c>
      <c r="H141" s="5" t="s">
        <v>103</v>
      </c>
      <c r="I141" s="6">
        <f>(E141+F141)*VLOOKUP("wan3.0-video|百炼（国际）|1080p",费率与参数!$A$16:$G$36,6,0)</f>
        <v>29.9768</v>
      </c>
      <c r="J141" s="5">
        <f>MAX(费率与参数!$B$4,CEILING(I141/费率与参数!$B$2,费率与参数!$B$3))</f>
        <v>2998</v>
      </c>
      <c r="K141" s="8">
        <f>J141*费率与参数!$B$2</f>
        <v>29.98</v>
      </c>
      <c r="L141" s="9">
        <f t="shared" si="2"/>
        <v>0.000106737825216863</v>
      </c>
    </row>
    <row r="142" spans="1:12">
      <c r="A142" s="4" t="s">
        <v>79</v>
      </c>
      <c r="B142" s="4" t="s">
        <v>87</v>
      </c>
      <c r="C142" s="4" t="s">
        <v>110</v>
      </c>
      <c r="D142" s="4" t="s">
        <v>29</v>
      </c>
      <c r="E142" s="4">
        <v>30</v>
      </c>
      <c r="F142" s="5">
        <v>0</v>
      </c>
      <c r="G142" s="4" t="s">
        <v>108</v>
      </c>
      <c r="H142" s="5" t="s">
        <v>103</v>
      </c>
      <c r="I142" s="6">
        <f>(E142+F142)*VLOOKUP("wan3.0-video|百炼（国际）|1080p",费率与参数!$A$16:$G$36,6,0)</f>
        <v>44.9652</v>
      </c>
      <c r="J142" s="5">
        <f>MAX(费率与参数!$B$4,CEILING(I142/费率与参数!$B$2,费率与参数!$B$3))</f>
        <v>4497</v>
      </c>
      <c r="K142" s="8">
        <f>J142*费率与参数!$B$2</f>
        <v>44.97</v>
      </c>
      <c r="L142" s="9">
        <f t="shared" si="2"/>
        <v>0.000106737825216863</v>
      </c>
    </row>
    <row r="143" spans="1:12">
      <c r="A143" s="4" t="s">
        <v>79</v>
      </c>
      <c r="B143" s="4" t="s">
        <v>80</v>
      </c>
      <c r="C143" s="4" t="s">
        <v>111</v>
      </c>
      <c r="D143" s="4" t="s">
        <v>27</v>
      </c>
      <c r="E143" s="4">
        <v>5</v>
      </c>
      <c r="F143" s="5">
        <v>5</v>
      </c>
      <c r="G143" s="4" t="s">
        <v>108</v>
      </c>
      <c r="H143" s="5" t="s">
        <v>103</v>
      </c>
      <c r="I143" s="6">
        <f>(E143+F143)*VLOOKUP("wan3.0-video|百炼（北京）|480p",费率与参数!$A$16:$G$36,6,0)</f>
        <v>3</v>
      </c>
      <c r="J143" s="5">
        <f>MAX(费率与参数!$B$4,CEILING(I143/费率与参数!$B$2,费率与参数!$B$3))</f>
        <v>300</v>
      </c>
      <c r="K143" s="8">
        <f>J143*费率与参数!$B$2</f>
        <v>3</v>
      </c>
      <c r="L143" s="9">
        <f t="shared" si="2"/>
        <v>0</v>
      </c>
    </row>
    <row r="144" spans="1:12">
      <c r="A144" s="4" t="s">
        <v>79</v>
      </c>
      <c r="B144" s="4" t="s">
        <v>87</v>
      </c>
      <c r="C144" s="4" t="s">
        <v>111</v>
      </c>
      <c r="D144" s="4" t="s">
        <v>27</v>
      </c>
      <c r="E144" s="4">
        <v>5</v>
      </c>
      <c r="F144" s="5">
        <v>5</v>
      </c>
      <c r="G144" s="4" t="s">
        <v>108</v>
      </c>
      <c r="H144" s="5" t="s">
        <v>103</v>
      </c>
      <c r="I144" s="6">
        <f>(E144+F144)*VLOOKUP("wan3.0-video|百炼（国际）|480p",费率与参数!$A$16:$G$36,6,0)</f>
        <v>3.7471</v>
      </c>
      <c r="J144" s="5">
        <f>MAX(费率与参数!$B$4,CEILING(I144/费率与参数!$B$2,费率与参数!$B$3))</f>
        <v>375</v>
      </c>
      <c r="K144" s="8">
        <f>J144*费率与参数!$B$2</f>
        <v>3.75</v>
      </c>
      <c r="L144" s="9">
        <f t="shared" si="2"/>
        <v>0.000773333333333404</v>
      </c>
    </row>
    <row r="145" spans="1:12">
      <c r="A145" s="4" t="s">
        <v>79</v>
      </c>
      <c r="B145" s="4" t="s">
        <v>80</v>
      </c>
      <c r="C145" s="4" t="s">
        <v>111</v>
      </c>
      <c r="D145" s="4" t="s">
        <v>27</v>
      </c>
      <c r="E145" s="4">
        <v>10</v>
      </c>
      <c r="F145" s="5">
        <v>5</v>
      </c>
      <c r="G145" s="4" t="s">
        <v>108</v>
      </c>
      <c r="H145" s="5" t="s">
        <v>103</v>
      </c>
      <c r="I145" s="6">
        <f>(E145+F145)*VLOOKUP("wan3.0-video|百炼（北京）|480p",费率与参数!$A$16:$G$36,6,0)</f>
        <v>4.5</v>
      </c>
      <c r="J145" s="5">
        <f>MAX(费率与参数!$B$4,CEILING(I145/费率与参数!$B$2,费率与参数!$B$3))</f>
        <v>450</v>
      </c>
      <c r="K145" s="8">
        <f>J145*费率与参数!$B$2</f>
        <v>4.5</v>
      </c>
      <c r="L145" s="9">
        <f t="shared" si="2"/>
        <v>0</v>
      </c>
    </row>
    <row r="146" spans="1:12">
      <c r="A146" s="4" t="s">
        <v>79</v>
      </c>
      <c r="B146" s="4" t="s">
        <v>87</v>
      </c>
      <c r="C146" s="4" t="s">
        <v>111</v>
      </c>
      <c r="D146" s="4" t="s">
        <v>27</v>
      </c>
      <c r="E146" s="4">
        <v>10</v>
      </c>
      <c r="F146" s="5">
        <v>5</v>
      </c>
      <c r="G146" s="4" t="s">
        <v>108</v>
      </c>
      <c r="H146" s="5" t="s">
        <v>103</v>
      </c>
      <c r="I146" s="6">
        <f>(E146+F146)*VLOOKUP("wan3.0-video|百炼（国际）|480p",费率与参数!$A$16:$G$36,6,0)</f>
        <v>5.62065</v>
      </c>
      <c r="J146" s="5">
        <f>MAX(费率与参数!$B$4,CEILING(I146/费率与参数!$B$2,费率与参数!$B$3))</f>
        <v>563</v>
      </c>
      <c r="K146" s="8">
        <f>J146*费率与参数!$B$2</f>
        <v>5.63</v>
      </c>
      <c r="L146" s="9">
        <f t="shared" si="2"/>
        <v>0.00166074600355248</v>
      </c>
    </row>
    <row r="147" spans="1:12">
      <c r="A147" s="4" t="s">
        <v>79</v>
      </c>
      <c r="B147" s="4" t="s">
        <v>80</v>
      </c>
      <c r="C147" s="4" t="s">
        <v>111</v>
      </c>
      <c r="D147" s="4" t="s">
        <v>27</v>
      </c>
      <c r="E147" s="4">
        <v>15</v>
      </c>
      <c r="F147" s="5">
        <v>5</v>
      </c>
      <c r="G147" s="4" t="s">
        <v>108</v>
      </c>
      <c r="H147" s="5" t="s">
        <v>103</v>
      </c>
      <c r="I147" s="6">
        <f>(E147+F147)*VLOOKUP("wan3.0-video|百炼（北京）|480p",费率与参数!$A$16:$G$36,6,0)</f>
        <v>6</v>
      </c>
      <c r="J147" s="5">
        <f>MAX(费率与参数!$B$4,CEILING(I147/费率与参数!$B$2,费率与参数!$B$3))</f>
        <v>600</v>
      </c>
      <c r="K147" s="8">
        <f>J147*费率与参数!$B$2</f>
        <v>6</v>
      </c>
      <c r="L147" s="9">
        <f t="shared" si="2"/>
        <v>0</v>
      </c>
    </row>
    <row r="148" spans="1:12">
      <c r="A148" s="4" t="s">
        <v>79</v>
      </c>
      <c r="B148" s="4" t="s">
        <v>87</v>
      </c>
      <c r="C148" s="4" t="s">
        <v>111</v>
      </c>
      <c r="D148" s="4" t="s">
        <v>27</v>
      </c>
      <c r="E148" s="4">
        <v>15</v>
      </c>
      <c r="F148" s="5">
        <v>5</v>
      </c>
      <c r="G148" s="4" t="s">
        <v>108</v>
      </c>
      <c r="H148" s="5" t="s">
        <v>103</v>
      </c>
      <c r="I148" s="6">
        <f>(E148+F148)*VLOOKUP("wan3.0-video|百炼（国际）|480p",费率与参数!$A$16:$G$36,6,0)</f>
        <v>7.4942</v>
      </c>
      <c r="J148" s="5">
        <f>MAX(费率与参数!$B$4,CEILING(I148/费率与参数!$B$2,费率与参数!$B$3))</f>
        <v>750</v>
      </c>
      <c r="K148" s="8">
        <f>J148*费率与参数!$B$2</f>
        <v>7.5</v>
      </c>
      <c r="L148" s="9">
        <f t="shared" si="2"/>
        <v>0.000773333333333404</v>
      </c>
    </row>
    <row r="149" spans="1:12">
      <c r="A149" s="4" t="s">
        <v>79</v>
      </c>
      <c r="B149" s="4" t="s">
        <v>80</v>
      </c>
      <c r="C149" s="4" t="s">
        <v>111</v>
      </c>
      <c r="D149" s="4" t="s">
        <v>27</v>
      </c>
      <c r="E149" s="4">
        <v>20</v>
      </c>
      <c r="F149" s="5">
        <v>5</v>
      </c>
      <c r="G149" s="4" t="s">
        <v>108</v>
      </c>
      <c r="H149" s="5" t="s">
        <v>103</v>
      </c>
      <c r="I149" s="6">
        <f>(E149+F149)*VLOOKUP("wan3.0-video|百炼（北京）|480p",费率与参数!$A$16:$G$36,6,0)</f>
        <v>7.5</v>
      </c>
      <c r="J149" s="5">
        <f>MAX(费率与参数!$B$4,CEILING(I149/费率与参数!$B$2,费率与参数!$B$3))</f>
        <v>750</v>
      </c>
      <c r="K149" s="8">
        <f>J149*费率与参数!$B$2</f>
        <v>7.5</v>
      </c>
      <c r="L149" s="9">
        <f t="shared" si="2"/>
        <v>0</v>
      </c>
    </row>
    <row r="150" spans="1:12">
      <c r="A150" s="4" t="s">
        <v>79</v>
      </c>
      <c r="B150" s="4" t="s">
        <v>87</v>
      </c>
      <c r="C150" s="4" t="s">
        <v>111</v>
      </c>
      <c r="D150" s="4" t="s">
        <v>27</v>
      </c>
      <c r="E150" s="4">
        <v>20</v>
      </c>
      <c r="F150" s="5">
        <v>5</v>
      </c>
      <c r="G150" s="4" t="s">
        <v>108</v>
      </c>
      <c r="H150" s="5" t="s">
        <v>103</v>
      </c>
      <c r="I150" s="6">
        <f>(E150+F150)*VLOOKUP("wan3.0-video|百炼（国际）|480p",费率与参数!$A$16:$G$36,6,0)</f>
        <v>9.36775</v>
      </c>
      <c r="J150" s="5">
        <f>MAX(费率与参数!$B$4,CEILING(I150/费率与参数!$B$2,费率与参数!$B$3))</f>
        <v>937</v>
      </c>
      <c r="K150" s="8">
        <f>J150*费率与参数!$B$2</f>
        <v>9.37</v>
      </c>
      <c r="L150" s="9">
        <f t="shared" si="2"/>
        <v>0.000240128068303314</v>
      </c>
    </row>
    <row r="151" spans="1:12">
      <c r="A151" s="4" t="s">
        <v>79</v>
      </c>
      <c r="B151" s="4" t="s">
        <v>80</v>
      </c>
      <c r="C151" s="4" t="s">
        <v>111</v>
      </c>
      <c r="D151" s="4" t="s">
        <v>27</v>
      </c>
      <c r="E151" s="4">
        <v>30</v>
      </c>
      <c r="F151" s="5">
        <v>5</v>
      </c>
      <c r="G151" s="4" t="s">
        <v>108</v>
      </c>
      <c r="H151" s="5" t="s">
        <v>103</v>
      </c>
      <c r="I151" s="6">
        <f>(E151+F151)*VLOOKUP("wan3.0-video|百炼（北京）|480p",费率与参数!$A$16:$G$36,6,0)</f>
        <v>10.5</v>
      </c>
      <c r="J151" s="5">
        <f>MAX(费率与参数!$B$4,CEILING(I151/费率与参数!$B$2,费率与参数!$B$3))</f>
        <v>1050</v>
      </c>
      <c r="K151" s="8">
        <f>J151*费率与参数!$B$2</f>
        <v>10.5</v>
      </c>
      <c r="L151" s="9">
        <f t="shared" si="2"/>
        <v>0</v>
      </c>
    </row>
    <row r="152" spans="1:12">
      <c r="A152" s="4" t="s">
        <v>79</v>
      </c>
      <c r="B152" s="4" t="s">
        <v>87</v>
      </c>
      <c r="C152" s="4" t="s">
        <v>111</v>
      </c>
      <c r="D152" s="4" t="s">
        <v>27</v>
      </c>
      <c r="E152" s="4">
        <v>30</v>
      </c>
      <c r="F152" s="5">
        <v>5</v>
      </c>
      <c r="G152" s="4" t="s">
        <v>108</v>
      </c>
      <c r="H152" s="5" t="s">
        <v>103</v>
      </c>
      <c r="I152" s="6">
        <f>(E152+F152)*VLOOKUP("wan3.0-video|百炼（国际）|480p",费率与参数!$A$16:$G$36,6,0)</f>
        <v>13.11485</v>
      </c>
      <c r="J152" s="5">
        <f>MAX(费率与参数!$B$4,CEILING(I152/费率与参数!$B$2,费率与参数!$B$3))</f>
        <v>1312</v>
      </c>
      <c r="K152" s="8">
        <f>J152*费率与参数!$B$2</f>
        <v>13.12</v>
      </c>
      <c r="L152" s="9">
        <f t="shared" si="2"/>
        <v>0.000392530487805076</v>
      </c>
    </row>
    <row r="153" spans="1:12">
      <c r="A153" s="4" t="s">
        <v>79</v>
      </c>
      <c r="B153" s="4" t="s">
        <v>80</v>
      </c>
      <c r="C153" s="4" t="s">
        <v>111</v>
      </c>
      <c r="D153" s="4" t="s">
        <v>28</v>
      </c>
      <c r="E153" s="4">
        <v>5</v>
      </c>
      <c r="F153" s="5">
        <v>5</v>
      </c>
      <c r="G153" s="4" t="s">
        <v>108</v>
      </c>
      <c r="H153" s="5" t="s">
        <v>103</v>
      </c>
      <c r="I153" s="6">
        <f>(E153+F153)*VLOOKUP("wan3.0-video|百炼（北京）|720p",费率与参数!$A$16:$G$36,6,0)</f>
        <v>6</v>
      </c>
      <c r="J153" s="5">
        <f>MAX(费率与参数!$B$4,CEILING(I153/费率与参数!$B$2,费率与参数!$B$3))</f>
        <v>600</v>
      </c>
      <c r="K153" s="8">
        <f>J153*费率与参数!$B$2</f>
        <v>6</v>
      </c>
      <c r="L153" s="9">
        <f t="shared" si="2"/>
        <v>0</v>
      </c>
    </row>
    <row r="154" spans="1:12">
      <c r="A154" s="4" t="s">
        <v>79</v>
      </c>
      <c r="B154" s="4" t="s">
        <v>87</v>
      </c>
      <c r="C154" s="4" t="s">
        <v>111</v>
      </c>
      <c r="D154" s="4" t="s">
        <v>28</v>
      </c>
      <c r="E154" s="4">
        <v>5</v>
      </c>
      <c r="F154" s="5">
        <v>5</v>
      </c>
      <c r="G154" s="4" t="s">
        <v>108</v>
      </c>
      <c r="H154" s="5" t="s">
        <v>103</v>
      </c>
      <c r="I154" s="6">
        <f>(E154+F154)*VLOOKUP("wan3.0-video|百炼（国际）|720p",费率与参数!$A$16:$G$36,6,0)</f>
        <v>7.4942</v>
      </c>
      <c r="J154" s="5">
        <f>MAX(费率与参数!$B$4,CEILING(I154/费率与参数!$B$2,费率与参数!$B$3))</f>
        <v>750</v>
      </c>
      <c r="K154" s="8">
        <f>J154*费率与参数!$B$2</f>
        <v>7.5</v>
      </c>
      <c r="L154" s="9">
        <f t="shared" si="2"/>
        <v>0.000773333333333404</v>
      </c>
    </row>
    <row r="155" spans="1:12">
      <c r="A155" s="4" t="s">
        <v>79</v>
      </c>
      <c r="B155" s="4" t="s">
        <v>80</v>
      </c>
      <c r="C155" s="4" t="s">
        <v>111</v>
      </c>
      <c r="D155" s="4" t="s">
        <v>28</v>
      </c>
      <c r="E155" s="4">
        <v>10</v>
      </c>
      <c r="F155" s="5">
        <v>5</v>
      </c>
      <c r="G155" s="4" t="s">
        <v>108</v>
      </c>
      <c r="H155" s="5" t="s">
        <v>103</v>
      </c>
      <c r="I155" s="6">
        <f>(E155+F155)*VLOOKUP("wan3.0-video|百炼（北京）|720p",费率与参数!$A$16:$G$36,6,0)</f>
        <v>9</v>
      </c>
      <c r="J155" s="5">
        <f>MAX(费率与参数!$B$4,CEILING(I155/费率与参数!$B$2,费率与参数!$B$3))</f>
        <v>900</v>
      </c>
      <c r="K155" s="8">
        <f>J155*费率与参数!$B$2</f>
        <v>9</v>
      </c>
      <c r="L155" s="9">
        <f t="shared" si="2"/>
        <v>0</v>
      </c>
    </row>
    <row r="156" spans="1:12">
      <c r="A156" s="4" t="s">
        <v>79</v>
      </c>
      <c r="B156" s="4" t="s">
        <v>87</v>
      </c>
      <c r="C156" s="4" t="s">
        <v>111</v>
      </c>
      <c r="D156" s="4" t="s">
        <v>28</v>
      </c>
      <c r="E156" s="4">
        <v>10</v>
      </c>
      <c r="F156" s="5">
        <v>5</v>
      </c>
      <c r="G156" s="4" t="s">
        <v>108</v>
      </c>
      <c r="H156" s="5" t="s">
        <v>103</v>
      </c>
      <c r="I156" s="6">
        <f>(E156+F156)*VLOOKUP("wan3.0-video|百炼（国际）|720p",费率与参数!$A$16:$G$36,6,0)</f>
        <v>11.2413</v>
      </c>
      <c r="J156" s="5">
        <f>MAX(费率与参数!$B$4,CEILING(I156/费率与参数!$B$2,费率与参数!$B$3))</f>
        <v>1125</v>
      </c>
      <c r="K156" s="8">
        <f>J156*费率与参数!$B$2</f>
        <v>11.25</v>
      </c>
      <c r="L156" s="9">
        <f t="shared" si="2"/>
        <v>0.000773333333333404</v>
      </c>
    </row>
    <row r="157" spans="1:12">
      <c r="A157" s="4" t="s">
        <v>79</v>
      </c>
      <c r="B157" s="4" t="s">
        <v>80</v>
      </c>
      <c r="C157" s="4" t="s">
        <v>111</v>
      </c>
      <c r="D157" s="4" t="s">
        <v>28</v>
      </c>
      <c r="E157" s="4">
        <v>15</v>
      </c>
      <c r="F157" s="5">
        <v>5</v>
      </c>
      <c r="G157" s="4" t="s">
        <v>108</v>
      </c>
      <c r="H157" s="5" t="s">
        <v>103</v>
      </c>
      <c r="I157" s="6">
        <f>(E157+F157)*VLOOKUP("wan3.0-video|百炼（北京）|720p",费率与参数!$A$16:$G$36,6,0)</f>
        <v>12</v>
      </c>
      <c r="J157" s="5">
        <f>MAX(费率与参数!$B$4,CEILING(I157/费率与参数!$B$2,费率与参数!$B$3))</f>
        <v>1200</v>
      </c>
      <c r="K157" s="8">
        <f>J157*费率与参数!$B$2</f>
        <v>12</v>
      </c>
      <c r="L157" s="9">
        <f t="shared" si="2"/>
        <v>0</v>
      </c>
    </row>
    <row r="158" spans="1:12">
      <c r="A158" s="4" t="s">
        <v>79</v>
      </c>
      <c r="B158" s="4" t="s">
        <v>87</v>
      </c>
      <c r="C158" s="4" t="s">
        <v>111</v>
      </c>
      <c r="D158" s="4" t="s">
        <v>28</v>
      </c>
      <c r="E158" s="4">
        <v>15</v>
      </c>
      <c r="F158" s="5">
        <v>5</v>
      </c>
      <c r="G158" s="4" t="s">
        <v>108</v>
      </c>
      <c r="H158" s="5" t="s">
        <v>103</v>
      </c>
      <c r="I158" s="6">
        <f>(E158+F158)*VLOOKUP("wan3.0-video|百炼（国际）|720p",费率与参数!$A$16:$G$36,6,0)</f>
        <v>14.9884</v>
      </c>
      <c r="J158" s="5">
        <f>MAX(费率与参数!$B$4,CEILING(I158/费率与参数!$B$2,费率与参数!$B$3))</f>
        <v>1499</v>
      </c>
      <c r="K158" s="8">
        <f>J158*费率与参数!$B$2</f>
        <v>14.99</v>
      </c>
      <c r="L158" s="9">
        <f t="shared" si="2"/>
        <v>0.000106737825216863</v>
      </c>
    </row>
    <row r="159" spans="1:12">
      <c r="A159" s="4" t="s">
        <v>79</v>
      </c>
      <c r="B159" s="4" t="s">
        <v>80</v>
      </c>
      <c r="C159" s="4" t="s">
        <v>111</v>
      </c>
      <c r="D159" s="4" t="s">
        <v>28</v>
      </c>
      <c r="E159" s="4">
        <v>20</v>
      </c>
      <c r="F159" s="5">
        <v>5</v>
      </c>
      <c r="G159" s="4" t="s">
        <v>108</v>
      </c>
      <c r="H159" s="5" t="s">
        <v>103</v>
      </c>
      <c r="I159" s="6">
        <f>(E159+F159)*VLOOKUP("wan3.0-video|百炼（北京）|720p",费率与参数!$A$16:$G$36,6,0)</f>
        <v>15</v>
      </c>
      <c r="J159" s="5">
        <f>MAX(费率与参数!$B$4,CEILING(I159/费率与参数!$B$2,费率与参数!$B$3))</f>
        <v>1500</v>
      </c>
      <c r="K159" s="8">
        <f>J159*费率与参数!$B$2</f>
        <v>15</v>
      </c>
      <c r="L159" s="9">
        <f t="shared" si="2"/>
        <v>0</v>
      </c>
    </row>
    <row r="160" spans="1:12">
      <c r="A160" s="4" t="s">
        <v>79</v>
      </c>
      <c r="B160" s="4" t="s">
        <v>87</v>
      </c>
      <c r="C160" s="4" t="s">
        <v>111</v>
      </c>
      <c r="D160" s="4" t="s">
        <v>28</v>
      </c>
      <c r="E160" s="4">
        <v>20</v>
      </c>
      <c r="F160" s="5">
        <v>5</v>
      </c>
      <c r="G160" s="4" t="s">
        <v>108</v>
      </c>
      <c r="H160" s="5" t="s">
        <v>103</v>
      </c>
      <c r="I160" s="6">
        <f>(E160+F160)*VLOOKUP("wan3.0-video|百炼（国际）|720p",费率与参数!$A$16:$G$36,6,0)</f>
        <v>18.7355</v>
      </c>
      <c r="J160" s="5">
        <f>MAX(费率与参数!$B$4,CEILING(I160/费率与参数!$B$2,费率与参数!$B$3))</f>
        <v>1874</v>
      </c>
      <c r="K160" s="8">
        <f>J160*费率与参数!$B$2</f>
        <v>18.74</v>
      </c>
      <c r="L160" s="9">
        <f t="shared" si="2"/>
        <v>0.000240128068303314</v>
      </c>
    </row>
    <row r="161" spans="1:12">
      <c r="A161" s="4" t="s">
        <v>79</v>
      </c>
      <c r="B161" s="4" t="s">
        <v>80</v>
      </c>
      <c r="C161" s="4" t="s">
        <v>111</v>
      </c>
      <c r="D161" s="4" t="s">
        <v>28</v>
      </c>
      <c r="E161" s="4">
        <v>30</v>
      </c>
      <c r="F161" s="5">
        <v>5</v>
      </c>
      <c r="G161" s="4" t="s">
        <v>108</v>
      </c>
      <c r="H161" s="5" t="s">
        <v>103</v>
      </c>
      <c r="I161" s="6">
        <f>(E161+F161)*VLOOKUP("wan3.0-video|百炼（北京）|720p",费率与参数!$A$16:$G$36,6,0)</f>
        <v>21</v>
      </c>
      <c r="J161" s="5">
        <f>MAX(费率与参数!$B$4,CEILING(I161/费率与参数!$B$2,费率与参数!$B$3))</f>
        <v>2100</v>
      </c>
      <c r="K161" s="8">
        <f>J161*费率与参数!$B$2</f>
        <v>21</v>
      </c>
      <c r="L161" s="9">
        <f t="shared" si="2"/>
        <v>0</v>
      </c>
    </row>
    <row r="162" spans="1:12">
      <c r="A162" s="4" t="s">
        <v>79</v>
      </c>
      <c r="B162" s="4" t="s">
        <v>87</v>
      </c>
      <c r="C162" s="4" t="s">
        <v>111</v>
      </c>
      <c r="D162" s="4" t="s">
        <v>28</v>
      </c>
      <c r="E162" s="4">
        <v>30</v>
      </c>
      <c r="F162" s="5">
        <v>5</v>
      </c>
      <c r="G162" s="4" t="s">
        <v>108</v>
      </c>
      <c r="H162" s="5" t="s">
        <v>103</v>
      </c>
      <c r="I162" s="6">
        <f>(E162+F162)*VLOOKUP("wan3.0-video|百炼（国际）|720p",费率与参数!$A$16:$G$36,6,0)</f>
        <v>26.2297</v>
      </c>
      <c r="J162" s="5">
        <f>MAX(费率与参数!$B$4,CEILING(I162/费率与参数!$B$2,费率与参数!$B$3))</f>
        <v>2623</v>
      </c>
      <c r="K162" s="8">
        <f>J162*费率与参数!$B$2</f>
        <v>26.23</v>
      </c>
      <c r="L162" s="9">
        <f t="shared" si="2"/>
        <v>1.14372855509748e-5</v>
      </c>
    </row>
    <row r="163" spans="1:12">
      <c r="A163" s="4" t="s">
        <v>79</v>
      </c>
      <c r="B163" s="4" t="s">
        <v>80</v>
      </c>
      <c r="C163" s="4" t="s">
        <v>111</v>
      </c>
      <c r="D163" s="4" t="s">
        <v>29</v>
      </c>
      <c r="E163" s="4">
        <v>5</v>
      </c>
      <c r="F163" s="5">
        <v>5</v>
      </c>
      <c r="G163" s="4" t="s">
        <v>108</v>
      </c>
      <c r="H163" s="5" t="s">
        <v>103</v>
      </c>
      <c r="I163" s="6">
        <f>(E163+F163)*VLOOKUP("wan3.0-video|百炼（北京）|1080p",费率与参数!$A$16:$G$36,6,0)</f>
        <v>12</v>
      </c>
      <c r="J163" s="5">
        <f>MAX(费率与参数!$B$4,CEILING(I163/费率与参数!$B$2,费率与参数!$B$3))</f>
        <v>1200</v>
      </c>
      <c r="K163" s="8">
        <f>J163*费率与参数!$B$2</f>
        <v>12</v>
      </c>
      <c r="L163" s="9">
        <f t="shared" si="2"/>
        <v>0</v>
      </c>
    </row>
    <row r="164" spans="1:12">
      <c r="A164" s="4" t="s">
        <v>79</v>
      </c>
      <c r="B164" s="4" t="s">
        <v>87</v>
      </c>
      <c r="C164" s="4" t="s">
        <v>111</v>
      </c>
      <c r="D164" s="4" t="s">
        <v>29</v>
      </c>
      <c r="E164" s="4">
        <v>5</v>
      </c>
      <c r="F164" s="5">
        <v>5</v>
      </c>
      <c r="G164" s="4" t="s">
        <v>108</v>
      </c>
      <c r="H164" s="5" t="s">
        <v>103</v>
      </c>
      <c r="I164" s="6">
        <f>(E164+F164)*VLOOKUP("wan3.0-video|百炼（国际）|1080p",费率与参数!$A$16:$G$36,6,0)</f>
        <v>14.9884</v>
      </c>
      <c r="J164" s="5">
        <f>MAX(费率与参数!$B$4,CEILING(I164/费率与参数!$B$2,费率与参数!$B$3))</f>
        <v>1499</v>
      </c>
      <c r="K164" s="8">
        <f>J164*费率与参数!$B$2</f>
        <v>14.99</v>
      </c>
      <c r="L164" s="9">
        <f t="shared" si="2"/>
        <v>0.000106737825216863</v>
      </c>
    </row>
    <row r="165" spans="1:12">
      <c r="A165" s="4" t="s">
        <v>79</v>
      </c>
      <c r="B165" s="4" t="s">
        <v>80</v>
      </c>
      <c r="C165" s="4" t="s">
        <v>111</v>
      </c>
      <c r="D165" s="4" t="s">
        <v>29</v>
      </c>
      <c r="E165" s="4">
        <v>10</v>
      </c>
      <c r="F165" s="5">
        <v>5</v>
      </c>
      <c r="G165" s="4" t="s">
        <v>108</v>
      </c>
      <c r="H165" s="5" t="s">
        <v>103</v>
      </c>
      <c r="I165" s="6">
        <f>(E165+F165)*VLOOKUP("wan3.0-video|百炼（北京）|1080p",费率与参数!$A$16:$G$36,6,0)</f>
        <v>18</v>
      </c>
      <c r="J165" s="5">
        <f>MAX(费率与参数!$B$4,CEILING(I165/费率与参数!$B$2,费率与参数!$B$3))</f>
        <v>1800</v>
      </c>
      <c r="K165" s="8">
        <f>J165*费率与参数!$B$2</f>
        <v>18</v>
      </c>
      <c r="L165" s="9">
        <f t="shared" si="2"/>
        <v>0</v>
      </c>
    </row>
    <row r="166" spans="1:12">
      <c r="A166" s="4" t="s">
        <v>79</v>
      </c>
      <c r="B166" s="4" t="s">
        <v>87</v>
      </c>
      <c r="C166" s="4" t="s">
        <v>111</v>
      </c>
      <c r="D166" s="4" t="s">
        <v>29</v>
      </c>
      <c r="E166" s="4">
        <v>10</v>
      </c>
      <c r="F166" s="5">
        <v>5</v>
      </c>
      <c r="G166" s="4" t="s">
        <v>108</v>
      </c>
      <c r="H166" s="5" t="s">
        <v>103</v>
      </c>
      <c r="I166" s="6">
        <f>(E166+F166)*VLOOKUP("wan3.0-video|百炼（国际）|1080p",费率与参数!$A$16:$G$36,6,0)</f>
        <v>22.4826</v>
      </c>
      <c r="J166" s="5">
        <f>MAX(费率与参数!$B$4,CEILING(I166/费率与参数!$B$2,费率与参数!$B$3))</f>
        <v>2249</v>
      </c>
      <c r="K166" s="8">
        <f>J166*费率与参数!$B$2</f>
        <v>22.49</v>
      </c>
      <c r="L166" s="9">
        <f t="shared" si="2"/>
        <v>0.000329035126723221</v>
      </c>
    </row>
    <row r="167" spans="1:12">
      <c r="A167" s="4" t="s">
        <v>79</v>
      </c>
      <c r="B167" s="4" t="s">
        <v>80</v>
      </c>
      <c r="C167" s="4" t="s">
        <v>111</v>
      </c>
      <c r="D167" s="4" t="s">
        <v>29</v>
      </c>
      <c r="E167" s="4">
        <v>15</v>
      </c>
      <c r="F167" s="5">
        <v>5</v>
      </c>
      <c r="G167" s="4" t="s">
        <v>108</v>
      </c>
      <c r="H167" s="5" t="s">
        <v>103</v>
      </c>
      <c r="I167" s="6">
        <f>(E167+F167)*VLOOKUP("wan3.0-video|百炼（北京）|1080p",费率与参数!$A$16:$G$36,6,0)</f>
        <v>24</v>
      </c>
      <c r="J167" s="5">
        <f>MAX(费率与参数!$B$4,CEILING(I167/费率与参数!$B$2,费率与参数!$B$3))</f>
        <v>2400</v>
      </c>
      <c r="K167" s="8">
        <f>J167*费率与参数!$B$2</f>
        <v>24</v>
      </c>
      <c r="L167" s="9">
        <f t="shared" si="2"/>
        <v>0</v>
      </c>
    </row>
    <row r="168" spans="1:12">
      <c r="A168" s="4" t="s">
        <v>79</v>
      </c>
      <c r="B168" s="4" t="s">
        <v>87</v>
      </c>
      <c r="C168" s="4" t="s">
        <v>111</v>
      </c>
      <c r="D168" s="4" t="s">
        <v>29</v>
      </c>
      <c r="E168" s="4">
        <v>15</v>
      </c>
      <c r="F168" s="5">
        <v>5</v>
      </c>
      <c r="G168" s="4" t="s">
        <v>108</v>
      </c>
      <c r="H168" s="5" t="s">
        <v>103</v>
      </c>
      <c r="I168" s="6">
        <f>(E168+F168)*VLOOKUP("wan3.0-video|百炼（国际）|1080p",费率与参数!$A$16:$G$36,6,0)</f>
        <v>29.9768</v>
      </c>
      <c r="J168" s="5">
        <f>MAX(费率与参数!$B$4,CEILING(I168/费率与参数!$B$2,费率与参数!$B$3))</f>
        <v>2998</v>
      </c>
      <c r="K168" s="8">
        <f>J168*费率与参数!$B$2</f>
        <v>29.98</v>
      </c>
      <c r="L168" s="9">
        <f t="shared" si="2"/>
        <v>0.000106737825216863</v>
      </c>
    </row>
    <row r="169" spans="1:12">
      <c r="A169" s="4" t="s">
        <v>79</v>
      </c>
      <c r="B169" s="4" t="s">
        <v>80</v>
      </c>
      <c r="C169" s="4" t="s">
        <v>111</v>
      </c>
      <c r="D169" s="4" t="s">
        <v>29</v>
      </c>
      <c r="E169" s="4">
        <v>20</v>
      </c>
      <c r="F169" s="5">
        <v>5</v>
      </c>
      <c r="G169" s="4" t="s">
        <v>108</v>
      </c>
      <c r="H169" s="5" t="s">
        <v>103</v>
      </c>
      <c r="I169" s="6">
        <f>(E169+F169)*VLOOKUP("wan3.0-video|百炼（北京）|1080p",费率与参数!$A$16:$G$36,6,0)</f>
        <v>30</v>
      </c>
      <c r="J169" s="5">
        <f>MAX(费率与参数!$B$4,CEILING(I169/费率与参数!$B$2,费率与参数!$B$3))</f>
        <v>3000</v>
      </c>
      <c r="K169" s="8">
        <f>J169*费率与参数!$B$2</f>
        <v>30</v>
      </c>
      <c r="L169" s="9">
        <f t="shared" si="2"/>
        <v>0</v>
      </c>
    </row>
    <row r="170" spans="1:12">
      <c r="A170" s="4" t="s">
        <v>79</v>
      </c>
      <c r="B170" s="4" t="s">
        <v>87</v>
      </c>
      <c r="C170" s="4" t="s">
        <v>111</v>
      </c>
      <c r="D170" s="4" t="s">
        <v>29</v>
      </c>
      <c r="E170" s="4">
        <v>20</v>
      </c>
      <c r="F170" s="5">
        <v>5</v>
      </c>
      <c r="G170" s="4" t="s">
        <v>108</v>
      </c>
      <c r="H170" s="5" t="s">
        <v>103</v>
      </c>
      <c r="I170" s="6">
        <f>(E170+F170)*VLOOKUP("wan3.0-video|百炼（国际）|1080p",费率与参数!$A$16:$G$36,6,0)</f>
        <v>37.471</v>
      </c>
      <c r="J170" s="5">
        <f>MAX(费率与参数!$B$4,CEILING(I170/费率与参数!$B$2,费率与参数!$B$3))</f>
        <v>3748</v>
      </c>
      <c r="K170" s="8">
        <f>J170*费率与参数!$B$2</f>
        <v>37.48</v>
      </c>
      <c r="L170" s="9">
        <f t="shared" si="2"/>
        <v>0.000240128068303314</v>
      </c>
    </row>
    <row r="171" spans="1:12">
      <c r="A171" s="4" t="s">
        <v>79</v>
      </c>
      <c r="B171" s="4" t="s">
        <v>80</v>
      </c>
      <c r="C171" s="4" t="s">
        <v>111</v>
      </c>
      <c r="D171" s="4" t="s">
        <v>29</v>
      </c>
      <c r="E171" s="4">
        <v>30</v>
      </c>
      <c r="F171" s="5">
        <v>5</v>
      </c>
      <c r="G171" s="4" t="s">
        <v>108</v>
      </c>
      <c r="H171" s="5" t="s">
        <v>103</v>
      </c>
      <c r="I171" s="6">
        <f>(E171+F171)*VLOOKUP("wan3.0-video|百炼（北京）|1080p",费率与参数!$A$16:$G$36,6,0)</f>
        <v>42</v>
      </c>
      <c r="J171" s="5">
        <f>MAX(费率与参数!$B$4,CEILING(I171/费率与参数!$B$2,费率与参数!$B$3))</f>
        <v>4200</v>
      </c>
      <c r="K171" s="8">
        <f>J171*费率与参数!$B$2</f>
        <v>42</v>
      </c>
      <c r="L171" s="9">
        <f t="shared" si="2"/>
        <v>0</v>
      </c>
    </row>
    <row r="172" spans="1:12">
      <c r="A172" s="4" t="s">
        <v>79</v>
      </c>
      <c r="B172" s="4" t="s">
        <v>87</v>
      </c>
      <c r="C172" s="4" t="s">
        <v>111</v>
      </c>
      <c r="D172" s="4" t="s">
        <v>29</v>
      </c>
      <c r="E172" s="4">
        <v>30</v>
      </c>
      <c r="F172" s="5">
        <v>5</v>
      </c>
      <c r="G172" s="4" t="s">
        <v>108</v>
      </c>
      <c r="H172" s="5" t="s">
        <v>103</v>
      </c>
      <c r="I172" s="6">
        <f>(E172+F172)*VLOOKUP("wan3.0-video|百炼（国际）|1080p",费率与参数!$A$16:$G$36,6,0)</f>
        <v>52.4594</v>
      </c>
      <c r="J172" s="5">
        <f>MAX(费率与参数!$B$4,CEILING(I172/费率与参数!$B$2,费率与参数!$B$3))</f>
        <v>5246</v>
      </c>
      <c r="K172" s="8">
        <f>J172*费率与参数!$B$2</f>
        <v>52.46</v>
      </c>
      <c r="L172" s="9">
        <f t="shared" si="2"/>
        <v>1.14372855509748e-5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2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6.8"/>
  <cols>
    <col min="1" max="1" width="24" customWidth="1"/>
    <col min="2" max="2" width="12" customWidth="1"/>
    <col min="3" max="3" width="34" customWidth="1"/>
    <col min="4" max="5" width="10" customWidth="1"/>
    <col min="6" max="8" width="11" customWidth="1"/>
    <col min="9" max="9" width="13" customWidth="1"/>
    <col min="10" max="10" width="14" customWidth="1"/>
    <col min="11" max="11" width="11" customWidth="1"/>
    <col min="12" max="12" width="12" customWidth="1"/>
    <col min="13" max="13" width="9" customWidth="1"/>
  </cols>
  <sheetData>
    <row r="1" ht="20.4" spans="1:13">
      <c r="A1" s="1" t="s">
        <v>112</v>
      </c>
    </row>
    <row r="3" spans="1:13">
      <c r="A3" s="2" t="s">
        <v>32</v>
      </c>
      <c r="B3" s="2" t="s">
        <v>33</v>
      </c>
      <c r="C3" s="2" t="s">
        <v>94</v>
      </c>
      <c r="D3" s="2" t="s">
        <v>23</v>
      </c>
      <c r="E3" s="2" t="s">
        <v>95</v>
      </c>
      <c r="F3" s="2" t="s">
        <v>96</v>
      </c>
      <c r="G3" s="2" t="s">
        <v>98</v>
      </c>
      <c r="H3" s="2" t="s">
        <v>113</v>
      </c>
      <c r="I3" s="2" t="s">
        <v>114</v>
      </c>
      <c r="J3" s="2" t="s">
        <v>115</v>
      </c>
      <c r="K3" s="2" t="s">
        <v>116</v>
      </c>
      <c r="L3" s="2" t="s">
        <v>99</v>
      </c>
      <c r="M3" s="2" t="s">
        <v>117</v>
      </c>
    </row>
    <row r="4" spans="1:13">
      <c r="A4" s="4" t="s">
        <v>39</v>
      </c>
      <c r="B4" s="4" t="s">
        <v>40</v>
      </c>
      <c r="C4" s="4" t="s">
        <v>102</v>
      </c>
      <c r="D4" s="4" t="s">
        <v>27</v>
      </c>
      <c r="E4" s="4">
        <v>5</v>
      </c>
      <c r="F4" s="5" t="s">
        <v>103</v>
      </c>
      <c r="G4" s="6">
        <f>成本与现售价!$I$4</f>
        <v>2.88228</v>
      </c>
      <c r="H4" s="7">
        <f>MIN(0.95,MAX(费率与参数!$B$6,费率与参数!$B$5-(费率与参数!$B$5-费率与参数!$B$6)*(LN(MAX(G4,0.01))-LN(MIN(成本与现售价!$I$4:$I$172)))/(LN(MAX(成本与现售价!$I$4:$I$172))-LN(MIN(成本与现售价!$I$4:$I$172)))))</f>
        <v>0.373317276127591</v>
      </c>
      <c r="I4" s="8">
        <f>CEILING(G4/(1-H4)/费率与参数!$B$2,费率与参数!$B$3)*费率与参数!$B$2</f>
        <v>4.6</v>
      </c>
      <c r="J4" s="5">
        <f>I4/费率与参数!$B$2</f>
        <v>460</v>
      </c>
      <c r="K4" s="9">
        <f t="shared" ref="K4:K67" si="0">1-G4/I4</f>
        <v>0.373417391304348</v>
      </c>
      <c r="L4" s="5">
        <f>成本与现售价!$J$4</f>
        <v>289</v>
      </c>
      <c r="M4" s="10">
        <f>I4/成本与现售价!$K$4-1</f>
        <v>0.591695501730104</v>
      </c>
    </row>
    <row r="5" spans="1:13">
      <c r="A5" s="4" t="s">
        <v>39</v>
      </c>
      <c r="B5" s="4" t="s">
        <v>40</v>
      </c>
      <c r="C5" s="4" t="s">
        <v>102</v>
      </c>
      <c r="D5" s="4" t="s">
        <v>27</v>
      </c>
      <c r="E5" s="4">
        <v>10</v>
      </c>
      <c r="F5" s="5" t="s">
        <v>103</v>
      </c>
      <c r="G5" s="6">
        <f>成本与现售价!$I$5</f>
        <v>5.7645</v>
      </c>
      <c r="H5" s="7">
        <f>MIN(0.95,MAX(费率与参数!$B$6,费率与参数!$B$5-(费率与参数!$B$5-费率与参数!$B$6)*(LN(MAX(G5,0.01))-LN(MIN(成本与现售价!$I$4:$I$172)))/(LN(MAX(成本与现售价!$I$4:$I$172))-LN(MIN(成本与现售价!$I$4:$I$172)))))</f>
        <v>0.325402377216519</v>
      </c>
      <c r="I5" s="8">
        <f>CEILING(G5/(1-H5)/费率与参数!$B$2,费率与参数!$B$3)*费率与参数!$B$2</f>
        <v>8.55</v>
      </c>
      <c r="J5" s="5">
        <f>I5/费率与参数!$B$2</f>
        <v>855</v>
      </c>
      <c r="K5" s="9">
        <f t="shared" si="0"/>
        <v>0.325789473684211</v>
      </c>
      <c r="L5" s="5">
        <f>成本与现售价!$J$5</f>
        <v>577</v>
      </c>
      <c r="M5" s="10">
        <f>I5/成本与现售价!$K$5-1</f>
        <v>0.481802426343154</v>
      </c>
    </row>
    <row r="6" spans="1:13">
      <c r="A6" s="4" t="s">
        <v>39</v>
      </c>
      <c r="B6" s="4" t="s">
        <v>40</v>
      </c>
      <c r="C6" s="4" t="s">
        <v>102</v>
      </c>
      <c r="D6" s="4" t="s">
        <v>28</v>
      </c>
      <c r="E6" s="4">
        <v>5</v>
      </c>
      <c r="F6" s="5" t="s">
        <v>103</v>
      </c>
      <c r="G6" s="6">
        <f>成本与现售价!$I$6</f>
        <v>9.72</v>
      </c>
      <c r="H6" s="7">
        <f>MIN(0.95,MAX(费率与参数!$B$6,费率与参数!$B$5-(费率与参数!$B$5-费率与参数!$B$6)*(LN(MAX(G6,0.01))-LN(MIN(成本与现售价!$I$4:$I$172)))/(LN(MAX(成本与现售价!$I$4:$I$172))-LN(MIN(成本与现售价!$I$4:$I$172)))))</f>
        <v>0.28928546058133</v>
      </c>
      <c r="I6" s="8">
        <f>CEILING(G6/(1-H6)/费率与参数!$B$2,费率与参数!$B$3)*费率与参数!$B$2</f>
        <v>13.68</v>
      </c>
      <c r="J6" s="5">
        <f>I6/费率与参数!$B$2</f>
        <v>1368</v>
      </c>
      <c r="K6" s="9">
        <f t="shared" si="0"/>
        <v>0.289473684210526</v>
      </c>
      <c r="L6" s="5">
        <f>成本与现售价!$J$6</f>
        <v>972</v>
      </c>
      <c r="M6" s="10">
        <f>I6/成本与现售价!$K$6-1</f>
        <v>0.407407407407407</v>
      </c>
    </row>
    <row r="7" spans="1:13">
      <c r="A7" s="4" t="s">
        <v>39</v>
      </c>
      <c r="B7" s="4" t="s">
        <v>40</v>
      </c>
      <c r="C7" s="4" t="s">
        <v>102</v>
      </c>
      <c r="D7" s="4" t="s">
        <v>28</v>
      </c>
      <c r="E7" s="4">
        <v>10</v>
      </c>
      <c r="F7" s="5" t="s">
        <v>103</v>
      </c>
      <c r="G7" s="6">
        <f>成本与现售价!$I$7</f>
        <v>19.44</v>
      </c>
      <c r="H7" s="7">
        <f>MIN(0.95,MAX(费率与参数!$B$6,费率与参数!$B$5-(费率与参数!$B$5-费率与参数!$B$6)*(LN(MAX(G7,0.01))-LN(MIN(成本与现售价!$I$4:$I$172)))/(LN(MAX(成本与现售价!$I$4:$I$172))-LN(MIN(成本与现售价!$I$4:$I$172)))))</f>
        <v>0.241369842156698</v>
      </c>
      <c r="I7" s="8">
        <f>CEILING(G7/(1-H7)/费率与参数!$B$2,费率与参数!$B$3)*费率与参数!$B$2</f>
        <v>25.63</v>
      </c>
      <c r="J7" s="5">
        <f>I7/费率与参数!$B$2</f>
        <v>2563</v>
      </c>
      <c r="K7" s="9">
        <f t="shared" si="0"/>
        <v>0.241513850955911</v>
      </c>
      <c r="L7" s="5">
        <f>成本与现售价!$J$7</f>
        <v>1944</v>
      </c>
      <c r="M7" s="10">
        <f>I7/成本与现售价!$K$7-1</f>
        <v>0.318415637860082</v>
      </c>
    </row>
    <row r="8" spans="1:13">
      <c r="A8" s="4" t="s">
        <v>39</v>
      </c>
      <c r="B8" s="4" t="s">
        <v>40</v>
      </c>
      <c r="C8" s="4" t="s">
        <v>102</v>
      </c>
      <c r="D8" s="4" t="s">
        <v>29</v>
      </c>
      <c r="E8" s="4">
        <v>5</v>
      </c>
      <c r="F8" s="5" t="s">
        <v>103</v>
      </c>
      <c r="G8" s="6">
        <f>成本与现售价!$I$8</f>
        <v>36.45</v>
      </c>
      <c r="H8" s="7">
        <f>MIN(0.95,MAX(费率与参数!$B$6,费率与参数!$B$5-(费率与参数!$B$5-费率与参数!$B$6)*(LN(MAX(G8,0.01))-LN(MIN(成本与现售价!$I$4:$I$172)))/(LN(MAX(成本与现售价!$I$4:$I$172))-LN(MIN(成本与现售价!$I$4:$I$172)))))</f>
        <v>0.197915618424632</v>
      </c>
      <c r="I8" s="8">
        <f>CEILING(G8/(1-H8)/费率与参数!$B$2,费率与参数!$B$3)*费率与参数!$B$2</f>
        <v>45.45</v>
      </c>
      <c r="J8" s="5">
        <f>I8/费率与参数!$B$2</f>
        <v>4545</v>
      </c>
      <c r="K8" s="9">
        <f t="shared" si="0"/>
        <v>0.198019801980198</v>
      </c>
      <c r="L8" s="5">
        <f>成本与现售价!$J$8</f>
        <v>3645</v>
      </c>
      <c r="M8" s="10">
        <f>I8/成本与现售价!$K$8-1</f>
        <v>0.246913580246914</v>
      </c>
    </row>
    <row r="9" spans="1:13">
      <c r="A9" s="4" t="s">
        <v>39</v>
      </c>
      <c r="B9" s="4" t="s">
        <v>40</v>
      </c>
      <c r="C9" s="4" t="s">
        <v>102</v>
      </c>
      <c r="D9" s="4" t="s">
        <v>29</v>
      </c>
      <c r="E9" s="4">
        <v>10</v>
      </c>
      <c r="F9" s="5" t="s">
        <v>103</v>
      </c>
      <c r="G9" s="6">
        <f>成本与现售价!$I$9</f>
        <v>72.9</v>
      </c>
      <c r="H9" s="7">
        <f>MIN(0.95,MAX(费率与参数!$B$6,费率与参数!$B$5-(费率与参数!$B$5-费率与参数!$B$6)*(LN(MAX(G9,0.01))-LN(MIN(成本与现售价!$I$4:$I$172)))/(LN(MAX(成本与现售价!$I$4:$I$172))-LN(MIN(成本与现售价!$I$4:$I$172)))))</f>
        <v>0.15</v>
      </c>
      <c r="I9" s="8">
        <f>CEILING(G9/(1-H9)/费率与参数!$B$2,费率与参数!$B$3)*费率与参数!$B$2</f>
        <v>85.77</v>
      </c>
      <c r="J9" s="5">
        <f>I9/费率与参数!$B$2</f>
        <v>8577</v>
      </c>
      <c r="K9" s="9">
        <f t="shared" si="0"/>
        <v>0.150052465897167</v>
      </c>
      <c r="L9" s="5">
        <f>成本与现售价!$J$9</f>
        <v>7290</v>
      </c>
      <c r="M9" s="10">
        <f>I9/成本与现售价!$K$9-1</f>
        <v>0.176543209876543</v>
      </c>
    </row>
    <row r="10" spans="1:13">
      <c r="A10" s="4" t="s">
        <v>39</v>
      </c>
      <c r="B10" s="4" t="s">
        <v>71</v>
      </c>
      <c r="C10" s="4" t="s">
        <v>102</v>
      </c>
      <c r="D10" s="4" t="s">
        <v>27</v>
      </c>
      <c r="E10" s="4">
        <v>4</v>
      </c>
      <c r="F10" s="5" t="s">
        <v>103</v>
      </c>
      <c r="G10" s="6">
        <f>成本与现售价!$I$10</f>
        <v>2</v>
      </c>
      <c r="H10" s="7">
        <f>MIN(0.95,MAX(费率与参数!$B$6,费率与参数!$B$5-(费率与参数!$B$5-费率与参数!$B$6)*(LN(MAX(G10,0.01))-LN(MIN(成本与现售价!$I$4:$I$172)))/(LN(MAX(成本与现售价!$I$4:$I$172))-LN(MIN(成本与现售价!$I$4:$I$172)))))</f>
        <v>0.398578892958115</v>
      </c>
      <c r="I10" s="8">
        <f>CEILING(G10/(1-H10)/费率与参数!$B$2,费率与参数!$B$3)*费率与参数!$B$2</f>
        <v>3.33</v>
      </c>
      <c r="J10" s="5">
        <f>I10/费率与参数!$B$2</f>
        <v>333</v>
      </c>
      <c r="K10" s="9">
        <f t="shared" si="0"/>
        <v>0.399399399399399</v>
      </c>
      <c r="L10" s="5">
        <f>成本与现售价!$J$10</f>
        <v>200</v>
      </c>
      <c r="M10" s="10">
        <f>I10/成本与现售价!$K$10-1</f>
        <v>0.665</v>
      </c>
    </row>
    <row r="11" spans="1:13">
      <c r="A11" s="4" t="s">
        <v>39</v>
      </c>
      <c r="B11" s="4" t="s">
        <v>71</v>
      </c>
      <c r="C11" s="4" t="s">
        <v>102</v>
      </c>
      <c r="D11" s="4" t="s">
        <v>27</v>
      </c>
      <c r="E11" s="4">
        <v>10</v>
      </c>
      <c r="F11" s="5" t="s">
        <v>103</v>
      </c>
      <c r="G11" s="6">
        <f>成本与现售价!$I$11</f>
        <v>2</v>
      </c>
      <c r="H11" s="7">
        <f>MIN(0.95,MAX(费率与参数!$B$6,费率与参数!$B$5-(费率与参数!$B$5-费率与参数!$B$6)*(LN(MAX(G11,0.01))-LN(MIN(成本与现售价!$I$4:$I$172)))/(LN(MAX(成本与现售价!$I$4:$I$172))-LN(MIN(成本与现售价!$I$4:$I$172)))))</f>
        <v>0.398578892958115</v>
      </c>
      <c r="I11" s="8">
        <f>CEILING(G11/(1-H11)/费率与参数!$B$2,费率与参数!$B$3)*费率与参数!$B$2</f>
        <v>3.33</v>
      </c>
      <c r="J11" s="5">
        <f>I11/费率与参数!$B$2</f>
        <v>333</v>
      </c>
      <c r="K11" s="9">
        <f t="shared" si="0"/>
        <v>0.399399399399399</v>
      </c>
      <c r="L11" s="5">
        <f>成本与现售价!$J$11</f>
        <v>200</v>
      </c>
      <c r="M11" s="10">
        <f>I11/成本与现售价!$K$11-1</f>
        <v>0.665</v>
      </c>
    </row>
    <row r="12" spans="1:13">
      <c r="A12" s="4" t="s">
        <v>39</v>
      </c>
      <c r="B12" s="4" t="s">
        <v>71</v>
      </c>
      <c r="C12" s="4" t="s">
        <v>102</v>
      </c>
      <c r="D12" s="4" t="s">
        <v>27</v>
      </c>
      <c r="E12" s="4">
        <v>20</v>
      </c>
      <c r="F12" s="5" t="s">
        <v>103</v>
      </c>
      <c r="G12" s="6">
        <f>成本与现售价!$I$12</f>
        <v>2</v>
      </c>
      <c r="H12" s="7">
        <f>MIN(0.95,MAX(费率与参数!$B$6,费率与参数!$B$5-(费率与参数!$B$5-费率与参数!$B$6)*(LN(MAX(G12,0.01))-LN(MIN(成本与现售价!$I$4:$I$172)))/(LN(MAX(成本与现售价!$I$4:$I$172))-LN(MIN(成本与现售价!$I$4:$I$172)))))</f>
        <v>0.398578892958115</v>
      </c>
      <c r="I12" s="8">
        <f>CEILING(G12/(1-H12)/费率与参数!$B$2,费率与参数!$B$3)*费率与参数!$B$2</f>
        <v>3.33</v>
      </c>
      <c r="J12" s="5">
        <f>I12/费率与参数!$B$2</f>
        <v>333</v>
      </c>
      <c r="K12" s="9">
        <f t="shared" si="0"/>
        <v>0.399399399399399</v>
      </c>
      <c r="L12" s="5">
        <f>成本与现售价!$J$12</f>
        <v>200</v>
      </c>
      <c r="M12" s="10">
        <f>I12/成本与现售价!$K$12-1</f>
        <v>0.665</v>
      </c>
    </row>
    <row r="13" spans="1:13">
      <c r="A13" s="4" t="s">
        <v>39</v>
      </c>
      <c r="B13" s="4" t="s">
        <v>71</v>
      </c>
      <c r="C13" s="4" t="s">
        <v>102</v>
      </c>
      <c r="D13" s="4" t="s">
        <v>28</v>
      </c>
      <c r="E13" s="4">
        <v>4</v>
      </c>
      <c r="F13" s="5" t="s">
        <v>103</v>
      </c>
      <c r="G13" s="6">
        <f>成本与现售价!$I$13</f>
        <v>2</v>
      </c>
      <c r="H13" s="7">
        <f>MIN(0.95,MAX(费率与参数!$B$6,费率与参数!$B$5-(费率与参数!$B$5-费率与参数!$B$6)*(LN(MAX(G13,0.01))-LN(MIN(成本与现售价!$I$4:$I$172)))/(LN(MAX(成本与现售价!$I$4:$I$172))-LN(MIN(成本与现售价!$I$4:$I$172)))))</f>
        <v>0.398578892958115</v>
      </c>
      <c r="I13" s="8">
        <f>CEILING(G13/(1-H13)/费率与参数!$B$2,费率与参数!$B$3)*费率与参数!$B$2</f>
        <v>3.33</v>
      </c>
      <c r="J13" s="5">
        <f>I13/费率与参数!$B$2</f>
        <v>333</v>
      </c>
      <c r="K13" s="9">
        <f t="shared" si="0"/>
        <v>0.399399399399399</v>
      </c>
      <c r="L13" s="5">
        <f>成本与现售价!$J$13</f>
        <v>200</v>
      </c>
      <c r="M13" s="10">
        <f>I13/成本与现售价!$K$13-1</f>
        <v>0.665</v>
      </c>
    </row>
    <row r="14" spans="1:13">
      <c r="A14" s="4" t="s">
        <v>39</v>
      </c>
      <c r="B14" s="4" t="s">
        <v>71</v>
      </c>
      <c r="C14" s="4" t="s">
        <v>102</v>
      </c>
      <c r="D14" s="4" t="s">
        <v>28</v>
      </c>
      <c r="E14" s="4">
        <v>10</v>
      </c>
      <c r="F14" s="5" t="s">
        <v>103</v>
      </c>
      <c r="G14" s="6">
        <f>成本与现售价!$I$14</f>
        <v>2</v>
      </c>
      <c r="H14" s="7">
        <f>MIN(0.95,MAX(费率与参数!$B$6,费率与参数!$B$5-(费率与参数!$B$5-费率与参数!$B$6)*(LN(MAX(G14,0.01))-LN(MIN(成本与现售价!$I$4:$I$172)))/(LN(MAX(成本与现售价!$I$4:$I$172))-LN(MIN(成本与现售价!$I$4:$I$172)))))</f>
        <v>0.398578892958115</v>
      </c>
      <c r="I14" s="8">
        <f>CEILING(G14/(1-H14)/费率与参数!$B$2,费率与参数!$B$3)*费率与参数!$B$2</f>
        <v>3.33</v>
      </c>
      <c r="J14" s="5">
        <f>I14/费率与参数!$B$2</f>
        <v>333</v>
      </c>
      <c r="K14" s="9">
        <f t="shared" si="0"/>
        <v>0.399399399399399</v>
      </c>
      <c r="L14" s="5">
        <f>成本与现售价!$J$14</f>
        <v>200</v>
      </c>
      <c r="M14" s="10">
        <f>I14/成本与现售价!$K$14-1</f>
        <v>0.665</v>
      </c>
    </row>
    <row r="15" spans="1:13">
      <c r="A15" s="4" t="s">
        <v>39</v>
      </c>
      <c r="B15" s="4" t="s">
        <v>71</v>
      </c>
      <c r="C15" s="4" t="s">
        <v>102</v>
      </c>
      <c r="D15" s="4" t="s">
        <v>28</v>
      </c>
      <c r="E15" s="4">
        <v>20</v>
      </c>
      <c r="F15" s="5" t="s">
        <v>103</v>
      </c>
      <c r="G15" s="6">
        <f>成本与现售价!$I$15</f>
        <v>2</v>
      </c>
      <c r="H15" s="7">
        <f>MIN(0.95,MAX(费率与参数!$B$6,费率与参数!$B$5-(费率与参数!$B$5-费率与参数!$B$6)*(LN(MAX(G15,0.01))-LN(MIN(成本与现售价!$I$4:$I$172)))/(LN(MAX(成本与现售价!$I$4:$I$172))-LN(MIN(成本与现售价!$I$4:$I$172)))))</f>
        <v>0.398578892958115</v>
      </c>
      <c r="I15" s="8">
        <f>CEILING(G15/(1-H15)/费率与参数!$B$2,费率与参数!$B$3)*费率与参数!$B$2</f>
        <v>3.33</v>
      </c>
      <c r="J15" s="5">
        <f>I15/费率与参数!$B$2</f>
        <v>333</v>
      </c>
      <c r="K15" s="9">
        <f t="shared" si="0"/>
        <v>0.399399399399399</v>
      </c>
      <c r="L15" s="5">
        <f>成本与现售价!$J$15</f>
        <v>200</v>
      </c>
      <c r="M15" s="10">
        <f>I15/成本与现售价!$K$15-1</f>
        <v>0.665</v>
      </c>
    </row>
    <row r="16" spans="1:13">
      <c r="A16" s="4" t="s">
        <v>39</v>
      </c>
      <c r="B16" s="4" t="s">
        <v>71</v>
      </c>
      <c r="C16" s="4" t="s">
        <v>102</v>
      </c>
      <c r="D16" s="4" t="s">
        <v>29</v>
      </c>
      <c r="E16" s="4">
        <v>4</v>
      </c>
      <c r="F16" s="5" t="s">
        <v>103</v>
      </c>
      <c r="G16" s="6">
        <f>成本与现售价!$I$16</f>
        <v>2</v>
      </c>
      <c r="H16" s="7">
        <f>MIN(0.95,MAX(费率与参数!$B$6,费率与参数!$B$5-(费率与参数!$B$5-费率与参数!$B$6)*(LN(MAX(G16,0.01))-LN(MIN(成本与现售价!$I$4:$I$172)))/(LN(MAX(成本与现售价!$I$4:$I$172))-LN(MIN(成本与现售价!$I$4:$I$172)))))</f>
        <v>0.398578892958115</v>
      </c>
      <c r="I16" s="8">
        <f>CEILING(G16/(1-H16)/费率与参数!$B$2,费率与参数!$B$3)*费率与参数!$B$2</f>
        <v>3.33</v>
      </c>
      <c r="J16" s="5">
        <f>I16/费率与参数!$B$2</f>
        <v>333</v>
      </c>
      <c r="K16" s="9">
        <f t="shared" si="0"/>
        <v>0.399399399399399</v>
      </c>
      <c r="L16" s="5">
        <f>成本与现售价!$J$16</f>
        <v>200</v>
      </c>
      <c r="M16" s="10">
        <f>I16/成本与现售价!$K$16-1</f>
        <v>0.665</v>
      </c>
    </row>
    <row r="17" spans="1:13">
      <c r="A17" s="4" t="s">
        <v>39</v>
      </c>
      <c r="B17" s="4" t="s">
        <v>71</v>
      </c>
      <c r="C17" s="4" t="s">
        <v>102</v>
      </c>
      <c r="D17" s="4" t="s">
        <v>29</v>
      </c>
      <c r="E17" s="4">
        <v>10</v>
      </c>
      <c r="F17" s="5" t="s">
        <v>103</v>
      </c>
      <c r="G17" s="6">
        <f>成本与现售价!$I$17</f>
        <v>2</v>
      </c>
      <c r="H17" s="7">
        <f>MIN(0.95,MAX(费率与参数!$B$6,费率与参数!$B$5-(费率与参数!$B$5-费率与参数!$B$6)*(LN(MAX(G17,0.01))-LN(MIN(成本与现售价!$I$4:$I$172)))/(LN(MAX(成本与现售价!$I$4:$I$172))-LN(MIN(成本与现售价!$I$4:$I$172)))))</f>
        <v>0.398578892958115</v>
      </c>
      <c r="I17" s="8">
        <f>CEILING(G17/(1-H17)/费率与参数!$B$2,费率与参数!$B$3)*费率与参数!$B$2</f>
        <v>3.33</v>
      </c>
      <c r="J17" s="5">
        <f>I17/费率与参数!$B$2</f>
        <v>333</v>
      </c>
      <c r="K17" s="9">
        <f t="shared" si="0"/>
        <v>0.399399399399399</v>
      </c>
      <c r="L17" s="5">
        <f>成本与现售价!$J$17</f>
        <v>200</v>
      </c>
      <c r="M17" s="10">
        <f>I17/成本与现售价!$K$17-1</f>
        <v>0.665</v>
      </c>
    </row>
    <row r="18" spans="1:13">
      <c r="A18" s="4" t="s">
        <v>39</v>
      </c>
      <c r="B18" s="4" t="s">
        <v>71</v>
      </c>
      <c r="C18" s="4" t="s">
        <v>102</v>
      </c>
      <c r="D18" s="4" t="s">
        <v>29</v>
      </c>
      <c r="E18" s="4">
        <v>20</v>
      </c>
      <c r="F18" s="5" t="s">
        <v>103</v>
      </c>
      <c r="G18" s="6">
        <f>成本与现售价!$I$18</f>
        <v>2</v>
      </c>
      <c r="H18" s="7">
        <f>MIN(0.95,MAX(费率与参数!$B$6,费率与参数!$B$5-(费率与参数!$B$5-费率与参数!$B$6)*(LN(MAX(G18,0.01))-LN(MIN(成本与现售价!$I$4:$I$172)))/(LN(MAX(成本与现售价!$I$4:$I$172))-LN(MIN(成本与现售价!$I$4:$I$172)))))</f>
        <v>0.398578892958115</v>
      </c>
      <c r="I18" s="8">
        <f>CEILING(G18/(1-H18)/费率与参数!$B$2,费率与参数!$B$3)*费率与参数!$B$2</f>
        <v>3.33</v>
      </c>
      <c r="J18" s="5">
        <f>I18/费率与参数!$B$2</f>
        <v>333</v>
      </c>
      <c r="K18" s="9">
        <f t="shared" si="0"/>
        <v>0.399399399399399</v>
      </c>
      <c r="L18" s="5">
        <f>成本与现售价!$J$18</f>
        <v>200</v>
      </c>
      <c r="M18" s="10">
        <f>I18/成本与现售价!$K$18-1</f>
        <v>0.665</v>
      </c>
    </row>
    <row r="19" spans="1:13">
      <c r="A19" s="4" t="s">
        <v>47</v>
      </c>
      <c r="B19" s="4" t="s">
        <v>40</v>
      </c>
      <c r="C19" s="4" t="s">
        <v>105</v>
      </c>
      <c r="D19" s="4" t="s">
        <v>27</v>
      </c>
      <c r="E19" s="4">
        <v>5</v>
      </c>
      <c r="F19" s="5" t="s">
        <v>103</v>
      </c>
      <c r="G19" s="6">
        <f>成本与现售价!$I$19</f>
        <v>1.44114</v>
      </c>
      <c r="H19" s="7">
        <f>MIN(0.95,MAX(费率与参数!$B$6,费率与参数!$B$5-(费率与参数!$B$5-费率与参数!$B$6)*(LN(MAX(G19,0.01))-LN(MIN(成本与现售价!$I$4:$I$172)))/(LN(MAX(成本与现售价!$I$4:$I$172))-LN(MIN(成本与现售价!$I$4:$I$172)))))</f>
        <v>0.421232894552224</v>
      </c>
      <c r="I19" s="8">
        <f>CEILING(G19/(1-H19)/费率与参数!$B$2,费率与参数!$B$3)*费率与参数!$B$2</f>
        <v>2.5</v>
      </c>
      <c r="J19" s="5">
        <f>I19/费率与参数!$B$2</f>
        <v>250</v>
      </c>
      <c r="K19" s="9">
        <f t="shared" si="0"/>
        <v>0.423544</v>
      </c>
      <c r="L19" s="5">
        <f>成本与现售价!$J$19</f>
        <v>145</v>
      </c>
      <c r="M19" s="10">
        <f>I19/成本与现售价!$K$19-1</f>
        <v>0.724137931034483</v>
      </c>
    </row>
    <row r="20" spans="1:13">
      <c r="A20" s="4" t="s">
        <v>47</v>
      </c>
      <c r="B20" s="4" t="s">
        <v>40</v>
      </c>
      <c r="C20" s="4" t="s">
        <v>105</v>
      </c>
      <c r="D20" s="4" t="s">
        <v>27</v>
      </c>
      <c r="E20" s="4">
        <v>10</v>
      </c>
      <c r="F20" s="5" t="s">
        <v>103</v>
      </c>
      <c r="G20" s="6">
        <f>成本与现售价!$I$20</f>
        <v>2.88225</v>
      </c>
      <c r="H20" s="7">
        <f>MIN(0.95,MAX(费率与参数!$B$6,费率与参数!$B$5-(费率与参数!$B$5-费率与参数!$B$6)*(LN(MAX(G20,0.01))-LN(MIN(成本与现售价!$I$4:$I$172)))/(LN(MAX(成本与现售价!$I$4:$I$172))-LN(MIN(成本与现售价!$I$4:$I$172)))))</f>
        <v>0.373317995641152</v>
      </c>
      <c r="I20" s="8">
        <f>CEILING(G20/(1-H20)/费率与参数!$B$2,费率与参数!$B$3)*费率与参数!$B$2</f>
        <v>4.6</v>
      </c>
      <c r="J20" s="5">
        <f>I20/费率与参数!$B$2</f>
        <v>460</v>
      </c>
      <c r="K20" s="9">
        <f t="shared" si="0"/>
        <v>0.373423913043478</v>
      </c>
      <c r="L20" s="5">
        <f>成本与现售价!$J$20</f>
        <v>289</v>
      </c>
      <c r="M20" s="10">
        <f>I20/成本与现售价!$K$20-1</f>
        <v>0.591695501730104</v>
      </c>
    </row>
    <row r="21" spans="1:13">
      <c r="A21" s="4" t="s">
        <v>47</v>
      </c>
      <c r="B21" s="4" t="s">
        <v>40</v>
      </c>
      <c r="C21" s="4" t="s">
        <v>105</v>
      </c>
      <c r="D21" s="4" t="s">
        <v>28</v>
      </c>
      <c r="E21" s="4">
        <v>5</v>
      </c>
      <c r="F21" s="5" t="s">
        <v>103</v>
      </c>
      <c r="G21" s="6">
        <f>成本与现售价!$I$21</f>
        <v>4.86</v>
      </c>
      <c r="H21" s="7">
        <f>MIN(0.95,MAX(费率与参数!$B$6,费率与参数!$B$5-(费率与参数!$B$5-费率与参数!$B$6)*(LN(MAX(G21,0.01))-LN(MIN(成本与现售价!$I$4:$I$172)))/(LN(MAX(成本与现售价!$I$4:$I$172))-LN(MIN(成本与现售价!$I$4:$I$172)))))</f>
        <v>0.337201079005963</v>
      </c>
      <c r="I21" s="8">
        <f>CEILING(G21/(1-H21)/费率与参数!$B$2,费率与参数!$B$3)*费率与参数!$B$2</f>
        <v>7.34</v>
      </c>
      <c r="J21" s="5">
        <f>I21/费率与参数!$B$2</f>
        <v>734</v>
      </c>
      <c r="K21" s="9">
        <f t="shared" si="0"/>
        <v>0.337874659400545</v>
      </c>
      <c r="L21" s="5">
        <f>成本与现售价!$J$21</f>
        <v>486</v>
      </c>
      <c r="M21" s="10">
        <f>I21/成本与现售价!$K$21-1</f>
        <v>0.510288065843621</v>
      </c>
    </row>
    <row r="22" spans="1:13">
      <c r="A22" s="4" t="s">
        <v>47</v>
      </c>
      <c r="B22" s="4" t="s">
        <v>40</v>
      </c>
      <c r="C22" s="4" t="s">
        <v>105</v>
      </c>
      <c r="D22" s="4" t="s">
        <v>28</v>
      </c>
      <c r="E22" s="4">
        <v>10</v>
      </c>
      <c r="F22" s="5" t="s">
        <v>103</v>
      </c>
      <c r="G22" s="6">
        <f>成本与现售价!$I$22</f>
        <v>9.72</v>
      </c>
      <c r="H22" s="7">
        <f>MIN(0.95,MAX(费率与参数!$B$6,费率与参数!$B$5-(费率与参数!$B$5-费率与参数!$B$6)*(LN(MAX(G22,0.01))-LN(MIN(成本与现售价!$I$4:$I$172)))/(LN(MAX(成本与现售价!$I$4:$I$172))-LN(MIN(成本与现售价!$I$4:$I$172)))))</f>
        <v>0.28928546058133</v>
      </c>
      <c r="I22" s="8">
        <f>CEILING(G22/(1-H22)/费率与参数!$B$2,费率与参数!$B$3)*费率与参数!$B$2</f>
        <v>13.68</v>
      </c>
      <c r="J22" s="5">
        <f>I22/费率与参数!$B$2</f>
        <v>1368</v>
      </c>
      <c r="K22" s="9">
        <f t="shared" si="0"/>
        <v>0.289473684210526</v>
      </c>
      <c r="L22" s="5">
        <f>成本与现售价!$J$22</f>
        <v>972</v>
      </c>
      <c r="M22" s="10">
        <f>I22/成本与现售价!$K$22-1</f>
        <v>0.407407407407407</v>
      </c>
    </row>
    <row r="23" spans="1:13">
      <c r="A23" s="4" t="s">
        <v>47</v>
      </c>
      <c r="B23" s="4" t="s">
        <v>40</v>
      </c>
      <c r="C23" s="4" t="s">
        <v>105</v>
      </c>
      <c r="D23" s="4" t="s">
        <v>29</v>
      </c>
      <c r="E23" s="4">
        <v>5</v>
      </c>
      <c r="F23" s="5" t="s">
        <v>103</v>
      </c>
      <c r="G23" s="6">
        <f>成本与现售价!$I$23</f>
        <v>18.225</v>
      </c>
      <c r="H23" s="7">
        <f>MIN(0.95,MAX(费率与参数!$B$6,费率与参数!$B$5-(费率与参数!$B$5-费率与参数!$B$6)*(LN(MAX(G23,0.01))-LN(MIN(成本与现售价!$I$4:$I$172)))/(LN(MAX(成本与现售价!$I$4:$I$172))-LN(MIN(成本与现售价!$I$4:$I$172)))))</f>
        <v>0.245831236849265</v>
      </c>
      <c r="I23" s="8">
        <f>CEILING(G23/(1-H23)/费率与参数!$B$2,费率与参数!$B$3)*费率与参数!$B$2</f>
        <v>24.17</v>
      </c>
      <c r="J23" s="5">
        <f>I23/费率与参数!$B$2</f>
        <v>2417</v>
      </c>
      <c r="K23" s="9">
        <f t="shared" si="0"/>
        <v>0.245966073645014</v>
      </c>
      <c r="L23" s="5">
        <f>成本与现售价!$J$23</f>
        <v>1823</v>
      </c>
      <c r="M23" s="10">
        <f>I23/成本与现售价!$K$23-1</f>
        <v>0.325836533187054</v>
      </c>
    </row>
    <row r="24" spans="1:13">
      <c r="A24" s="4" t="s">
        <v>47</v>
      </c>
      <c r="B24" s="4" t="s">
        <v>40</v>
      </c>
      <c r="C24" s="4" t="s">
        <v>105</v>
      </c>
      <c r="D24" s="4" t="s">
        <v>29</v>
      </c>
      <c r="E24" s="4">
        <v>10</v>
      </c>
      <c r="F24" s="5" t="s">
        <v>103</v>
      </c>
      <c r="G24" s="6">
        <f>成本与现售价!$I$24</f>
        <v>36.45</v>
      </c>
      <c r="H24" s="7">
        <f>MIN(0.95,MAX(费率与参数!$B$6,费率与参数!$B$5-(费率与参数!$B$5-费率与参数!$B$6)*(LN(MAX(G24,0.01))-LN(MIN(成本与现售价!$I$4:$I$172)))/(LN(MAX(成本与现售价!$I$4:$I$172))-LN(MIN(成本与现售价!$I$4:$I$172)))))</f>
        <v>0.197915618424632</v>
      </c>
      <c r="I24" s="8">
        <f>CEILING(G24/(1-H24)/费率与参数!$B$2,费率与参数!$B$3)*费率与参数!$B$2</f>
        <v>45.45</v>
      </c>
      <c r="J24" s="5">
        <f>I24/费率与参数!$B$2</f>
        <v>4545</v>
      </c>
      <c r="K24" s="9">
        <f t="shared" si="0"/>
        <v>0.198019801980198</v>
      </c>
      <c r="L24" s="5">
        <f>成本与现售价!$J$24</f>
        <v>3645</v>
      </c>
      <c r="M24" s="10">
        <f>I24/成本与现售价!$K$24-1</f>
        <v>0.246913580246914</v>
      </c>
    </row>
    <row r="25" spans="1:13">
      <c r="A25" s="4" t="s">
        <v>47</v>
      </c>
      <c r="B25" s="4" t="s">
        <v>71</v>
      </c>
      <c r="C25" s="4" t="s">
        <v>105</v>
      </c>
      <c r="D25" s="4" t="s">
        <v>27</v>
      </c>
      <c r="E25" s="4">
        <v>4</v>
      </c>
      <c r="F25" s="5" t="s">
        <v>103</v>
      </c>
      <c r="G25" s="6">
        <f>成本与现售价!$I$25</f>
        <v>2</v>
      </c>
      <c r="H25" s="7">
        <f>MIN(0.95,MAX(费率与参数!$B$6,费率与参数!$B$5-(费率与参数!$B$5-费率与参数!$B$6)*(LN(MAX(G25,0.01))-LN(MIN(成本与现售价!$I$4:$I$172)))/(LN(MAX(成本与现售价!$I$4:$I$172))-LN(MIN(成本与现售价!$I$4:$I$172)))))</f>
        <v>0.398578892958115</v>
      </c>
      <c r="I25" s="8">
        <f>CEILING(G25/(1-H25)/费率与参数!$B$2,费率与参数!$B$3)*费率与参数!$B$2</f>
        <v>3.33</v>
      </c>
      <c r="J25" s="5">
        <f>I25/费率与参数!$B$2</f>
        <v>333</v>
      </c>
      <c r="K25" s="9">
        <f t="shared" si="0"/>
        <v>0.399399399399399</v>
      </c>
      <c r="L25" s="5">
        <f>成本与现售价!$J$25</f>
        <v>200</v>
      </c>
      <c r="M25" s="10">
        <f>I25/成本与现售价!$K$25-1</f>
        <v>0.665</v>
      </c>
    </row>
    <row r="26" spans="1:13">
      <c r="A26" s="4" t="s">
        <v>47</v>
      </c>
      <c r="B26" s="4" t="s">
        <v>71</v>
      </c>
      <c r="C26" s="4" t="s">
        <v>105</v>
      </c>
      <c r="D26" s="4" t="s">
        <v>27</v>
      </c>
      <c r="E26" s="4">
        <v>15</v>
      </c>
      <c r="F26" s="5" t="s">
        <v>103</v>
      </c>
      <c r="G26" s="6">
        <f>成本与现售价!$I$26</f>
        <v>2</v>
      </c>
      <c r="H26" s="7">
        <f>MIN(0.95,MAX(费率与参数!$B$6,费率与参数!$B$5-(费率与参数!$B$5-费率与参数!$B$6)*(LN(MAX(G26,0.01))-LN(MIN(成本与现售价!$I$4:$I$172)))/(LN(MAX(成本与现售价!$I$4:$I$172))-LN(MIN(成本与现售价!$I$4:$I$172)))))</f>
        <v>0.398578892958115</v>
      </c>
      <c r="I26" s="8">
        <f>CEILING(G26/(1-H26)/费率与参数!$B$2,费率与参数!$B$3)*费率与参数!$B$2</f>
        <v>3.33</v>
      </c>
      <c r="J26" s="5">
        <f>I26/费率与参数!$B$2</f>
        <v>333</v>
      </c>
      <c r="K26" s="9">
        <f t="shared" si="0"/>
        <v>0.399399399399399</v>
      </c>
      <c r="L26" s="5">
        <f>成本与现售价!$J$26</f>
        <v>200</v>
      </c>
      <c r="M26" s="10">
        <f>I26/成本与现售价!$K$26-1</f>
        <v>0.665</v>
      </c>
    </row>
    <row r="27" spans="1:13">
      <c r="A27" s="4" t="s">
        <v>47</v>
      </c>
      <c r="B27" s="4" t="s">
        <v>71</v>
      </c>
      <c r="C27" s="4" t="s">
        <v>105</v>
      </c>
      <c r="D27" s="4" t="s">
        <v>28</v>
      </c>
      <c r="E27" s="4">
        <v>4</v>
      </c>
      <c r="F27" s="5" t="s">
        <v>103</v>
      </c>
      <c r="G27" s="6">
        <f>成本与现售价!$I$27</f>
        <v>2</v>
      </c>
      <c r="H27" s="7">
        <f>MIN(0.95,MAX(费率与参数!$B$6,费率与参数!$B$5-(费率与参数!$B$5-费率与参数!$B$6)*(LN(MAX(G27,0.01))-LN(MIN(成本与现售价!$I$4:$I$172)))/(LN(MAX(成本与现售价!$I$4:$I$172))-LN(MIN(成本与现售价!$I$4:$I$172)))))</f>
        <v>0.398578892958115</v>
      </c>
      <c r="I27" s="8">
        <f>CEILING(G27/(1-H27)/费率与参数!$B$2,费率与参数!$B$3)*费率与参数!$B$2</f>
        <v>3.33</v>
      </c>
      <c r="J27" s="5">
        <f>I27/费率与参数!$B$2</f>
        <v>333</v>
      </c>
      <c r="K27" s="9">
        <f t="shared" si="0"/>
        <v>0.399399399399399</v>
      </c>
      <c r="L27" s="5">
        <f>成本与现售价!$J$27</f>
        <v>200</v>
      </c>
      <c r="M27" s="10">
        <f>I27/成本与现售价!$K$27-1</f>
        <v>0.665</v>
      </c>
    </row>
    <row r="28" spans="1:13">
      <c r="A28" s="4" t="s">
        <v>47</v>
      </c>
      <c r="B28" s="4" t="s">
        <v>71</v>
      </c>
      <c r="C28" s="4" t="s">
        <v>105</v>
      </c>
      <c r="D28" s="4" t="s">
        <v>28</v>
      </c>
      <c r="E28" s="4">
        <v>15</v>
      </c>
      <c r="F28" s="5" t="s">
        <v>103</v>
      </c>
      <c r="G28" s="6">
        <f>成本与现售价!$I$28</f>
        <v>2</v>
      </c>
      <c r="H28" s="7">
        <f>MIN(0.95,MAX(费率与参数!$B$6,费率与参数!$B$5-(费率与参数!$B$5-费率与参数!$B$6)*(LN(MAX(G28,0.01))-LN(MIN(成本与现售价!$I$4:$I$172)))/(LN(MAX(成本与现售价!$I$4:$I$172))-LN(MIN(成本与现售价!$I$4:$I$172)))))</f>
        <v>0.398578892958115</v>
      </c>
      <c r="I28" s="8">
        <f>CEILING(G28/(1-H28)/费率与参数!$B$2,费率与参数!$B$3)*费率与参数!$B$2</f>
        <v>3.33</v>
      </c>
      <c r="J28" s="5">
        <f>I28/费率与参数!$B$2</f>
        <v>333</v>
      </c>
      <c r="K28" s="9">
        <f t="shared" si="0"/>
        <v>0.399399399399399</v>
      </c>
      <c r="L28" s="5">
        <f>成本与现售价!$J$28</f>
        <v>200</v>
      </c>
      <c r="M28" s="10">
        <f>I28/成本与现售价!$K$28-1</f>
        <v>0.665</v>
      </c>
    </row>
    <row r="29" spans="1:13">
      <c r="A29" s="4" t="s">
        <v>47</v>
      </c>
      <c r="B29" s="4" t="s">
        <v>71</v>
      </c>
      <c r="C29" s="4" t="s">
        <v>105</v>
      </c>
      <c r="D29" s="4" t="s">
        <v>29</v>
      </c>
      <c r="E29" s="4">
        <v>4</v>
      </c>
      <c r="F29" s="5" t="s">
        <v>103</v>
      </c>
      <c r="G29" s="6">
        <f>成本与现售价!$I$29</f>
        <v>2</v>
      </c>
      <c r="H29" s="7">
        <f>MIN(0.95,MAX(费率与参数!$B$6,费率与参数!$B$5-(费率与参数!$B$5-费率与参数!$B$6)*(LN(MAX(G29,0.01))-LN(MIN(成本与现售价!$I$4:$I$172)))/(LN(MAX(成本与现售价!$I$4:$I$172))-LN(MIN(成本与现售价!$I$4:$I$172)))))</f>
        <v>0.398578892958115</v>
      </c>
      <c r="I29" s="8">
        <f>CEILING(G29/(1-H29)/费率与参数!$B$2,费率与参数!$B$3)*费率与参数!$B$2</f>
        <v>3.33</v>
      </c>
      <c r="J29" s="5">
        <f>I29/费率与参数!$B$2</f>
        <v>333</v>
      </c>
      <c r="K29" s="9">
        <f t="shared" si="0"/>
        <v>0.399399399399399</v>
      </c>
      <c r="L29" s="5">
        <f>成本与现售价!$J$29</f>
        <v>200</v>
      </c>
      <c r="M29" s="10">
        <f>I29/成本与现售价!$K$29-1</f>
        <v>0.665</v>
      </c>
    </row>
    <row r="30" spans="1:13">
      <c r="A30" s="4" t="s">
        <v>47</v>
      </c>
      <c r="B30" s="4" t="s">
        <v>71</v>
      </c>
      <c r="C30" s="4" t="s">
        <v>105</v>
      </c>
      <c r="D30" s="4" t="s">
        <v>29</v>
      </c>
      <c r="E30" s="4">
        <v>15</v>
      </c>
      <c r="F30" s="5" t="s">
        <v>103</v>
      </c>
      <c r="G30" s="6">
        <f>成本与现售价!$I$30</f>
        <v>2</v>
      </c>
      <c r="H30" s="7">
        <f>MIN(0.95,MAX(费率与参数!$B$6,费率与参数!$B$5-(费率与参数!$B$5-费率与参数!$B$6)*(LN(MAX(G30,0.01))-LN(MIN(成本与现售价!$I$4:$I$172)))/(LN(MAX(成本与现售价!$I$4:$I$172))-LN(MIN(成本与现售价!$I$4:$I$172)))))</f>
        <v>0.398578892958115</v>
      </c>
      <c r="I30" s="8">
        <f>CEILING(G30/(1-H30)/费率与参数!$B$2,费率与参数!$B$3)*费率与参数!$B$2</f>
        <v>3.33</v>
      </c>
      <c r="J30" s="5">
        <f>I30/费率与参数!$B$2</f>
        <v>333</v>
      </c>
      <c r="K30" s="9">
        <f t="shared" si="0"/>
        <v>0.399399399399399</v>
      </c>
      <c r="L30" s="5">
        <f>成本与现售价!$J$30</f>
        <v>200</v>
      </c>
      <c r="M30" s="10">
        <f>I30/成本与现售价!$K$30-1</f>
        <v>0.665</v>
      </c>
    </row>
    <row r="31" spans="1:13">
      <c r="A31" s="4" t="s">
        <v>51</v>
      </c>
      <c r="B31" s="4" t="s">
        <v>40</v>
      </c>
      <c r="C31" s="4" t="s">
        <v>106</v>
      </c>
      <c r="D31" s="4" t="s">
        <v>27</v>
      </c>
      <c r="E31" s="4">
        <v>4</v>
      </c>
      <c r="F31" s="5" t="s">
        <v>103</v>
      </c>
      <c r="G31" s="6">
        <f>成本与现售价!$I$31</f>
        <v>0.46116</v>
      </c>
      <c r="H31" s="7">
        <f>MIN(0.95,MAX(费率与参数!$B$6,费率与参数!$B$5-(费率与参数!$B$5-费率与参数!$B$6)*(LN(MAX(G31,0.01))-LN(MIN(成本与现售价!$I$4:$I$172)))/(LN(MAX(成本与现售价!$I$4:$I$172))-LN(MIN(成本与现售价!$I$4:$I$172)))))</f>
        <v>0.5</v>
      </c>
      <c r="I31" s="8">
        <f>CEILING(G31/(1-H31)/费率与参数!$B$2,费率与参数!$B$3)*费率与参数!$B$2</f>
        <v>0.93</v>
      </c>
      <c r="J31" s="5">
        <f>I31/费率与参数!$B$2</f>
        <v>93</v>
      </c>
      <c r="K31" s="9">
        <f t="shared" si="0"/>
        <v>0.504129032258064</v>
      </c>
      <c r="L31" s="5">
        <f>成本与现售价!$J$31</f>
        <v>47</v>
      </c>
      <c r="M31" s="10">
        <f>I31/成本与现售价!$K$31-1</f>
        <v>0.978723404255319</v>
      </c>
    </row>
    <row r="32" spans="1:13">
      <c r="A32" s="4" t="s">
        <v>51</v>
      </c>
      <c r="B32" s="4" t="s">
        <v>40</v>
      </c>
      <c r="C32" s="4" t="s">
        <v>106</v>
      </c>
      <c r="D32" s="4" t="s">
        <v>27</v>
      </c>
      <c r="E32" s="4">
        <v>5</v>
      </c>
      <c r="F32" s="5" t="s">
        <v>103</v>
      </c>
      <c r="G32" s="6">
        <f>成本与现售价!$I$32</f>
        <v>0.576456</v>
      </c>
      <c r="H32" s="7">
        <f>MIN(0.95,MAX(费率与参数!$B$6,费率与参数!$B$5-(费率与参数!$B$5-费率与参数!$B$6)*(LN(MAX(G32,0.01))-LN(MIN(成本与现售价!$I$4:$I$172)))/(LN(MAX(成本与现售价!$I$4:$I$172))-LN(MIN(成本与现售价!$I$4:$I$172)))))</f>
        <v>0.484573896731648</v>
      </c>
      <c r="I32" s="8">
        <f>CEILING(G32/(1-H32)/费率与参数!$B$2,费率与参数!$B$3)*费率与参数!$B$2</f>
        <v>1.12</v>
      </c>
      <c r="J32" s="5">
        <f>I32/费率与参数!$B$2</f>
        <v>112</v>
      </c>
      <c r="K32" s="9">
        <f t="shared" si="0"/>
        <v>0.485307142857143</v>
      </c>
      <c r="L32" s="5">
        <f>成本与现售价!$J$32</f>
        <v>58</v>
      </c>
      <c r="M32" s="10">
        <f>I32/成本与现售价!$K$32-1</f>
        <v>0.931034482758621</v>
      </c>
    </row>
    <row r="33" spans="1:13">
      <c r="A33" s="4" t="s">
        <v>51</v>
      </c>
      <c r="B33" s="4" t="s">
        <v>40</v>
      </c>
      <c r="C33" s="4" t="s">
        <v>106</v>
      </c>
      <c r="D33" s="4" t="s">
        <v>27</v>
      </c>
      <c r="E33" s="4">
        <v>6</v>
      </c>
      <c r="F33" s="5" t="s">
        <v>103</v>
      </c>
      <c r="G33" s="6">
        <f>成本与现售价!$I$33</f>
        <v>0.69174</v>
      </c>
      <c r="H33" s="7">
        <f>MIN(0.95,MAX(费率与参数!$B$6,费率与参数!$B$5-(费率与参数!$B$5-费率与参数!$B$6)*(LN(MAX(G33,0.01))-LN(MIN(成本与现售价!$I$4:$I$172)))/(LN(MAX(成本与现售价!$I$4:$I$172))-LN(MIN(成本与现售价!$I$4:$I$172)))))</f>
        <v>0.471971160022726</v>
      </c>
      <c r="I33" s="8">
        <f>CEILING(G33/(1-H33)/费率与参数!$B$2,费率与参数!$B$3)*费率与参数!$B$2</f>
        <v>1.32</v>
      </c>
      <c r="J33" s="5">
        <f>I33/费率与参数!$B$2</f>
        <v>132</v>
      </c>
      <c r="K33" s="9">
        <f t="shared" si="0"/>
        <v>0.475954545454545</v>
      </c>
      <c r="L33" s="5">
        <f>成本与现售价!$J$33</f>
        <v>70</v>
      </c>
      <c r="M33" s="10">
        <f>I33/成本与现售价!$K$33-1</f>
        <v>0.885714285714286</v>
      </c>
    </row>
    <row r="34" spans="1:13">
      <c r="A34" s="4" t="s">
        <v>51</v>
      </c>
      <c r="B34" s="4" t="s">
        <v>40</v>
      </c>
      <c r="C34" s="4" t="s">
        <v>106</v>
      </c>
      <c r="D34" s="4" t="s">
        <v>27</v>
      </c>
      <c r="E34" s="4">
        <v>7</v>
      </c>
      <c r="F34" s="5" t="s">
        <v>103</v>
      </c>
      <c r="G34" s="6">
        <f>成本与现售价!$I$34</f>
        <v>0.807036</v>
      </c>
      <c r="H34" s="7">
        <f>MIN(0.95,MAX(费率与参数!$B$6,费率与参数!$B$5-(费率与参数!$B$5-费率与参数!$B$6)*(LN(MAX(G34,0.01))-LN(MIN(成本与现售价!$I$4:$I$172)))/(LN(MAX(成本与现售价!$I$4:$I$172))-LN(MIN(成本与现售价!$I$4:$I$172)))))</f>
        <v>0.461314575682417</v>
      </c>
      <c r="I34" s="8">
        <f>CEILING(G34/(1-H34)/费率与参数!$B$2,费率与参数!$B$3)*费率与参数!$B$2</f>
        <v>1.5</v>
      </c>
      <c r="J34" s="5">
        <f>I34/费率与参数!$B$2</f>
        <v>150</v>
      </c>
      <c r="K34" s="9">
        <f t="shared" si="0"/>
        <v>0.461976</v>
      </c>
      <c r="L34" s="5">
        <f>成本与现售价!$J$34</f>
        <v>81</v>
      </c>
      <c r="M34" s="10">
        <f>I34/成本与现售价!$K$34-1</f>
        <v>0.851851851851852</v>
      </c>
    </row>
    <row r="35" spans="1:13">
      <c r="A35" s="4" t="s">
        <v>51</v>
      </c>
      <c r="B35" s="4" t="s">
        <v>40</v>
      </c>
      <c r="C35" s="4" t="s">
        <v>106</v>
      </c>
      <c r="D35" s="4" t="s">
        <v>27</v>
      </c>
      <c r="E35" s="4">
        <v>8</v>
      </c>
      <c r="F35" s="5" t="s">
        <v>103</v>
      </c>
      <c r="G35" s="6">
        <f>成本与现售价!$I$35</f>
        <v>0.92232</v>
      </c>
      <c r="H35" s="7">
        <f>MIN(0.95,MAX(费率与参数!$B$6,费率与参数!$B$5-(费率与参数!$B$5-费率与参数!$B$6)*(LN(MAX(G35,0.01))-LN(MIN(成本与现售价!$I$4:$I$172)))/(LN(MAX(成本与现售价!$I$4:$I$172))-LN(MIN(成本与现售价!$I$4:$I$172)))))</f>
        <v>0.452084381575368</v>
      </c>
      <c r="I35" s="8">
        <f>CEILING(G35/(1-H35)/费率与参数!$B$2,费率与参数!$B$3)*费率与参数!$B$2</f>
        <v>1.69</v>
      </c>
      <c r="J35" s="5">
        <f>I35/费率与参数!$B$2</f>
        <v>169</v>
      </c>
      <c r="K35" s="9">
        <f t="shared" si="0"/>
        <v>0.454248520710059</v>
      </c>
      <c r="L35" s="5">
        <f>成本与现售价!$J$35</f>
        <v>93</v>
      </c>
      <c r="M35" s="10">
        <f>I35/成本与现售价!$K$35-1</f>
        <v>0.817204301075269</v>
      </c>
    </row>
    <row r="36" spans="1:13">
      <c r="A36" s="4" t="s">
        <v>51</v>
      </c>
      <c r="B36" s="4" t="s">
        <v>40</v>
      </c>
      <c r="C36" s="4" t="s">
        <v>106</v>
      </c>
      <c r="D36" s="4" t="s">
        <v>27</v>
      </c>
      <c r="E36" s="4">
        <v>9</v>
      </c>
      <c r="F36" s="5" t="s">
        <v>103</v>
      </c>
      <c r="G36" s="6">
        <f>成本与现售价!$I$36</f>
        <v>1.037616</v>
      </c>
      <c r="H36" s="7">
        <f>MIN(0.95,MAX(费率与参数!$B$6,费率与参数!$B$5-(费率与参数!$B$5-费率与参数!$B$6)*(LN(MAX(G36,0.01))-LN(MIN(成本与现售价!$I$4:$I$172)))/(LN(MAX(成本与现售价!$I$4:$I$172))-LN(MIN(成本与现售价!$I$4:$I$172)))))</f>
        <v>0.443941920314772</v>
      </c>
      <c r="I36" s="8">
        <f>CEILING(G36/(1-H36)/费率与参数!$B$2,费率与参数!$B$3)*费率与参数!$B$2</f>
        <v>1.87</v>
      </c>
      <c r="J36" s="5">
        <f>I36/费率与参数!$B$2</f>
        <v>187</v>
      </c>
      <c r="K36" s="9">
        <f t="shared" si="0"/>
        <v>0.44512513368984</v>
      </c>
      <c r="L36" s="5">
        <f>成本与现售价!$J$36</f>
        <v>104</v>
      </c>
      <c r="M36" s="10">
        <f>I36/成本与现售价!$K$36-1</f>
        <v>0.798076923076923</v>
      </c>
    </row>
    <row r="37" spans="1:13">
      <c r="A37" s="4" t="s">
        <v>51</v>
      </c>
      <c r="B37" s="4" t="s">
        <v>40</v>
      </c>
      <c r="C37" s="4" t="s">
        <v>106</v>
      </c>
      <c r="D37" s="4" t="s">
        <v>27</v>
      </c>
      <c r="E37" s="4">
        <v>10</v>
      </c>
      <c r="F37" s="5" t="s">
        <v>103</v>
      </c>
      <c r="G37" s="6">
        <f>成本与现售价!$I$37</f>
        <v>1.1529</v>
      </c>
      <c r="H37" s="7">
        <f>MIN(0.95,MAX(费率与参数!$B$6,费率与参数!$B$5-(费率与参数!$B$5-费率与参数!$B$6)*(LN(MAX(G37,0.01))-LN(MIN(成本与现售价!$I$4:$I$172)))/(LN(MAX(成本与现售价!$I$4:$I$172))-LN(MIN(成本与现售价!$I$4:$I$172)))))</f>
        <v>0.436658997820576</v>
      </c>
      <c r="I37" s="8">
        <f>CEILING(G37/(1-H37)/费率与参数!$B$2,费率与参数!$B$3)*费率与参数!$B$2</f>
        <v>2.05</v>
      </c>
      <c r="J37" s="5">
        <f>I37/费率与参数!$B$2</f>
        <v>205</v>
      </c>
      <c r="K37" s="9">
        <f t="shared" si="0"/>
        <v>0.437609756097561</v>
      </c>
      <c r="L37" s="5">
        <f>成本与现售价!$J$37</f>
        <v>116</v>
      </c>
      <c r="M37" s="10">
        <f>I37/成本与现售价!$K$37-1</f>
        <v>0.767241379310345</v>
      </c>
    </row>
    <row r="38" spans="1:13">
      <c r="A38" s="4" t="s">
        <v>51</v>
      </c>
      <c r="B38" s="4" t="s">
        <v>40</v>
      </c>
      <c r="C38" s="4" t="s">
        <v>106</v>
      </c>
      <c r="D38" s="4" t="s">
        <v>27</v>
      </c>
      <c r="E38" s="4">
        <v>11</v>
      </c>
      <c r="F38" s="5" t="s">
        <v>103</v>
      </c>
      <c r="G38" s="6">
        <f>成本与现售价!$I$38</f>
        <v>1.268196</v>
      </c>
      <c r="H38" s="7">
        <f>MIN(0.95,MAX(费率与参数!$B$6,费率与参数!$B$5-(费率与参数!$B$5-费率与参数!$B$6)*(LN(MAX(G38,0.01))-LN(MIN(成本与现售价!$I$4:$I$172)))/(LN(MAX(成本与现售价!$I$4:$I$172))-LN(MIN(成本与现售价!$I$4:$I$172)))))</f>
        <v>0.430070104391985</v>
      </c>
      <c r="I38" s="8">
        <f>CEILING(G38/(1-H38)/费率与参数!$B$2,费率与参数!$B$3)*费率与参数!$B$2</f>
        <v>2.23</v>
      </c>
      <c r="J38" s="5">
        <f>I38/费率与参数!$B$2</f>
        <v>223</v>
      </c>
      <c r="K38" s="9">
        <f t="shared" si="0"/>
        <v>0.431302242152466</v>
      </c>
      <c r="L38" s="5">
        <f>成本与现售价!$J$38</f>
        <v>127</v>
      </c>
      <c r="M38" s="10">
        <f>I38/成本与现售价!$K$38-1</f>
        <v>0.755905511811024</v>
      </c>
    </row>
    <row r="39" spans="1:13">
      <c r="A39" s="4" t="s">
        <v>51</v>
      </c>
      <c r="B39" s="4" t="s">
        <v>40</v>
      </c>
      <c r="C39" s="4" t="s">
        <v>106</v>
      </c>
      <c r="D39" s="4" t="s">
        <v>27</v>
      </c>
      <c r="E39" s="4">
        <v>12</v>
      </c>
      <c r="F39" s="5" t="s">
        <v>103</v>
      </c>
      <c r="G39" s="6">
        <f>成本与现售价!$I$39</f>
        <v>1.38348</v>
      </c>
      <c r="H39" s="7">
        <f>MIN(0.95,MAX(费率与参数!$B$6,费率与参数!$B$5-(费率与参数!$B$5-费率与参数!$B$6)*(LN(MAX(G39,0.01))-LN(MIN(成本与现售价!$I$4:$I$172)))/(LN(MAX(成本与现售价!$I$4:$I$172))-LN(MIN(成本与现售价!$I$4:$I$172)))))</f>
        <v>0.424055541598094</v>
      </c>
      <c r="I39" s="8">
        <f>CEILING(G39/(1-H39)/费率与参数!$B$2,费率与参数!$B$3)*费率与参数!$B$2</f>
        <v>2.41</v>
      </c>
      <c r="J39" s="5">
        <f>I39/费率与参数!$B$2</f>
        <v>241</v>
      </c>
      <c r="K39" s="9">
        <f t="shared" si="0"/>
        <v>0.425941908713693</v>
      </c>
      <c r="L39" s="5">
        <f>成本与现售价!$J$39</f>
        <v>139</v>
      </c>
      <c r="M39" s="10">
        <f>I39/成本与现售价!$K$39-1</f>
        <v>0.733812949640288</v>
      </c>
    </row>
    <row r="40" spans="1:13">
      <c r="A40" s="4" t="s">
        <v>51</v>
      </c>
      <c r="B40" s="4" t="s">
        <v>40</v>
      </c>
      <c r="C40" s="4" t="s">
        <v>106</v>
      </c>
      <c r="D40" s="4" t="s">
        <v>27</v>
      </c>
      <c r="E40" s="4">
        <v>13</v>
      </c>
      <c r="F40" s="5" t="s">
        <v>103</v>
      </c>
      <c r="G40" s="6">
        <f>成本与现售价!$I$40</f>
        <v>1.498776</v>
      </c>
      <c r="H40" s="7">
        <f>MIN(0.95,MAX(费率与参数!$B$6,费率与参数!$B$5-(费率与参数!$B$5-费率与参数!$B$6)*(LN(MAX(G40,0.01))-LN(MIN(成本与现售价!$I$4:$I$172)))/(LN(MAX(成本与现售价!$I$4:$I$172))-LN(MIN(成本与现售价!$I$4:$I$172)))))</f>
        <v>0.418522102574591</v>
      </c>
      <c r="I40" s="8">
        <f>CEILING(G40/(1-H40)/费率与参数!$B$2,费率与参数!$B$3)*费率与参数!$B$2</f>
        <v>2.58</v>
      </c>
      <c r="J40" s="5">
        <f>I40/费率与参数!$B$2</f>
        <v>258</v>
      </c>
      <c r="K40" s="9">
        <f t="shared" si="0"/>
        <v>0.419079069767442</v>
      </c>
      <c r="L40" s="5">
        <f>成本与现售价!$J$40</f>
        <v>150</v>
      </c>
      <c r="M40" s="10">
        <f>I40/成本与现售价!$K$40-1</f>
        <v>0.72</v>
      </c>
    </row>
    <row r="41" spans="1:13">
      <c r="A41" s="4" t="s">
        <v>51</v>
      </c>
      <c r="B41" s="4" t="s">
        <v>40</v>
      </c>
      <c r="C41" s="4" t="s">
        <v>106</v>
      </c>
      <c r="D41" s="4" t="s">
        <v>27</v>
      </c>
      <c r="E41" s="4">
        <v>14</v>
      </c>
      <c r="F41" s="5" t="s">
        <v>103</v>
      </c>
      <c r="G41" s="6">
        <f>成本与现售价!$I$41</f>
        <v>1.61406</v>
      </c>
      <c r="H41" s="7">
        <f>MIN(0.95,MAX(费率与参数!$B$6,费率与参数!$B$5-(费率与参数!$B$5-费率与参数!$B$6)*(LN(MAX(G41,0.01))-LN(MIN(成本与现售价!$I$4:$I$172)))/(LN(MAX(成本与现售价!$I$4:$I$172))-LN(MIN(成本与现售价!$I$4:$I$172)))))</f>
        <v>0.413399471196807</v>
      </c>
      <c r="I41" s="8">
        <f>CEILING(G41/(1-H41)/费率与参数!$B$2,费率与参数!$B$3)*费率与参数!$B$2</f>
        <v>2.76</v>
      </c>
      <c r="J41" s="5">
        <f>I41/费率与参数!$B$2</f>
        <v>276</v>
      </c>
      <c r="K41" s="9">
        <f t="shared" si="0"/>
        <v>0.415195652173913</v>
      </c>
      <c r="L41" s="5">
        <f>成本与现售价!$J$41</f>
        <v>162</v>
      </c>
      <c r="M41" s="10">
        <f>I41/成本与现售价!$K$41-1</f>
        <v>0.703703703703704</v>
      </c>
    </row>
    <row r="42" spans="1:13">
      <c r="A42" s="4" t="s">
        <v>51</v>
      </c>
      <c r="B42" s="4" t="s">
        <v>40</v>
      </c>
      <c r="C42" s="4" t="s">
        <v>106</v>
      </c>
      <c r="D42" s="4" t="s">
        <v>27</v>
      </c>
      <c r="E42" s="4">
        <v>15</v>
      </c>
      <c r="F42" s="5" t="s">
        <v>103</v>
      </c>
      <c r="G42" s="6">
        <f>成本与现售价!$I$42</f>
        <v>1.729356</v>
      </c>
      <c r="H42" s="7">
        <f>MIN(0.95,MAX(费率与参数!$B$6,费率与参数!$B$5-(费率与参数!$B$5-费率与参数!$B$6)*(LN(MAX(G42,0.01))-LN(MIN(成本与现售价!$I$4:$I$172)))/(LN(MAX(成本与现售价!$I$4:$I$172))-LN(MIN(成本与现售价!$I$4:$I$172)))))</f>
        <v>0.408629918004617</v>
      </c>
      <c r="I42" s="8">
        <f>CEILING(G42/(1-H42)/费率与参数!$B$2,费率与参数!$B$3)*费率与参数!$B$2</f>
        <v>2.93</v>
      </c>
      <c r="J42" s="5">
        <f>I42/费率与参数!$B$2</f>
        <v>293</v>
      </c>
      <c r="K42" s="9">
        <f t="shared" si="0"/>
        <v>0.409776109215017</v>
      </c>
      <c r="L42" s="5">
        <f>成本与现售价!$J$42</f>
        <v>173</v>
      </c>
      <c r="M42" s="10">
        <f>I42/成本与现售价!$K$42-1</f>
        <v>0.69364161849711</v>
      </c>
    </row>
    <row r="43" spans="1:13">
      <c r="A43" s="4" t="s">
        <v>51</v>
      </c>
      <c r="B43" s="4" t="s">
        <v>40</v>
      </c>
      <c r="C43" s="4" t="s">
        <v>106</v>
      </c>
      <c r="D43" s="4" t="s">
        <v>28</v>
      </c>
      <c r="E43" s="4">
        <v>4</v>
      </c>
      <c r="F43" s="5" t="s">
        <v>103</v>
      </c>
      <c r="G43" s="6">
        <f>成本与现售价!$I$43</f>
        <v>1.5552</v>
      </c>
      <c r="H43" s="7">
        <f>MIN(0.95,MAX(费率与参数!$B$6,费率与参数!$B$5-(费率与参数!$B$5-费率与参数!$B$6)*(LN(MAX(G43,0.01))-LN(MIN(成本与现售价!$I$4:$I$172)))/(LN(MAX(成本与现售价!$I$4:$I$172))-LN(MIN(成本与现售价!$I$4:$I$172)))))</f>
        <v>0.415967464940179</v>
      </c>
      <c r="I43" s="8">
        <f>CEILING(G43/(1-H43)/费率与参数!$B$2,费率与参数!$B$3)*费率与参数!$B$2</f>
        <v>2.67</v>
      </c>
      <c r="J43" s="5">
        <f>I43/费率与参数!$B$2</f>
        <v>267</v>
      </c>
      <c r="K43" s="9">
        <f t="shared" si="0"/>
        <v>0.41752808988764</v>
      </c>
      <c r="L43" s="5">
        <f>成本与现售价!$J$43</f>
        <v>156</v>
      </c>
      <c r="M43" s="10">
        <f>I43/成本与现售价!$K$43-1</f>
        <v>0.711538461538461</v>
      </c>
    </row>
    <row r="44" spans="1:13">
      <c r="A44" s="4" t="s">
        <v>51</v>
      </c>
      <c r="B44" s="4" t="s">
        <v>40</v>
      </c>
      <c r="C44" s="4" t="s">
        <v>106</v>
      </c>
      <c r="D44" s="4" t="s">
        <v>28</v>
      </c>
      <c r="E44" s="4">
        <v>5</v>
      </c>
      <c r="F44" s="5" t="s">
        <v>103</v>
      </c>
      <c r="G44" s="6">
        <f>成本与现售价!$I$44</f>
        <v>1.944</v>
      </c>
      <c r="H44" s="7">
        <f>MIN(0.95,MAX(费率与参数!$B$6,费率与参数!$B$5-(费率与参数!$B$5-费率与参数!$B$6)*(LN(MAX(G44,0.01))-LN(MIN(成本与现售价!$I$4:$I$172)))/(LN(MAX(成本与现售价!$I$4:$I$172))-LN(MIN(成本与现售价!$I$4:$I$172)))))</f>
        <v>0.400542081185387</v>
      </c>
      <c r="I44" s="8">
        <f>CEILING(G44/(1-H44)/费率与参数!$B$2,费率与参数!$B$3)*费率与参数!$B$2</f>
        <v>3.25</v>
      </c>
      <c r="J44" s="5">
        <f>I44/费率与参数!$B$2</f>
        <v>325</v>
      </c>
      <c r="K44" s="9">
        <f t="shared" si="0"/>
        <v>0.401846153846154</v>
      </c>
      <c r="L44" s="5">
        <f>成本与现售价!$J$44</f>
        <v>195</v>
      </c>
      <c r="M44" s="10">
        <f>I44/成本与现售价!$K$44-1</f>
        <v>0.666666666666667</v>
      </c>
    </row>
    <row r="45" spans="1:13">
      <c r="A45" s="4" t="s">
        <v>51</v>
      </c>
      <c r="B45" s="4" t="s">
        <v>40</v>
      </c>
      <c r="C45" s="4" t="s">
        <v>106</v>
      </c>
      <c r="D45" s="4" t="s">
        <v>28</v>
      </c>
      <c r="E45" s="4">
        <v>6</v>
      </c>
      <c r="F45" s="5" t="s">
        <v>103</v>
      </c>
      <c r="G45" s="6">
        <f>成本与现售价!$I$45</f>
        <v>2.3328</v>
      </c>
      <c r="H45" s="7">
        <f>MIN(0.95,MAX(费率与参数!$B$6,费率与参数!$B$5-(费率与参数!$B$5-费率与参数!$B$6)*(LN(MAX(G45,0.01))-LN(MIN(成本与现售价!$I$4:$I$172)))/(LN(MAX(成本与现售价!$I$4:$I$172))-LN(MIN(成本与现售价!$I$4:$I$172)))))</f>
        <v>0.387938624962905</v>
      </c>
      <c r="I45" s="8">
        <f>CEILING(G45/(1-H45)/费率与参数!$B$2,费率与参数!$B$3)*费率与参数!$B$2</f>
        <v>3.82</v>
      </c>
      <c r="J45" s="5">
        <f>I45/费率与参数!$B$2</f>
        <v>382</v>
      </c>
      <c r="K45" s="9">
        <f t="shared" si="0"/>
        <v>0.389319371727749</v>
      </c>
      <c r="L45" s="5">
        <f>成本与现售价!$J$45</f>
        <v>234</v>
      </c>
      <c r="M45" s="10">
        <f>I45/成本与现售价!$K$45-1</f>
        <v>0.632478632478633</v>
      </c>
    </row>
    <row r="46" spans="1:13">
      <c r="A46" s="4" t="s">
        <v>51</v>
      </c>
      <c r="B46" s="4" t="s">
        <v>40</v>
      </c>
      <c r="C46" s="4" t="s">
        <v>106</v>
      </c>
      <c r="D46" s="4" t="s">
        <v>28</v>
      </c>
      <c r="E46" s="4">
        <v>7</v>
      </c>
      <c r="F46" s="5" t="s">
        <v>103</v>
      </c>
      <c r="G46" s="6">
        <f>成本与现售价!$I$46</f>
        <v>2.7216</v>
      </c>
      <c r="H46" s="7">
        <f>MIN(0.95,MAX(费率与参数!$B$6,费率与参数!$B$5-(费率与参数!$B$5-费率与参数!$B$6)*(LN(MAX(G46,0.01))-LN(MIN(成本与现售价!$I$4:$I$172)))/(LN(MAX(成本与现售价!$I$4:$I$172))-LN(MIN(成本与现售价!$I$4:$I$172)))))</f>
        <v>0.377282554561618</v>
      </c>
      <c r="I46" s="8">
        <f>CEILING(G46/(1-H46)/费率与参数!$B$2,费率与参数!$B$3)*费率与参数!$B$2</f>
        <v>4.38</v>
      </c>
      <c r="J46" s="5">
        <f>I46/费率与参数!$B$2</f>
        <v>438</v>
      </c>
      <c r="K46" s="9">
        <f t="shared" si="0"/>
        <v>0.378630136986301</v>
      </c>
      <c r="L46" s="5">
        <f>成本与现售价!$J$46</f>
        <v>273</v>
      </c>
      <c r="M46" s="10">
        <f>I46/成本与现售价!$K$46-1</f>
        <v>0.604395604395604</v>
      </c>
    </row>
    <row r="47" spans="1:13">
      <c r="A47" s="4" t="s">
        <v>51</v>
      </c>
      <c r="B47" s="4" t="s">
        <v>40</v>
      </c>
      <c r="C47" s="4" t="s">
        <v>106</v>
      </c>
      <c r="D47" s="4" t="s">
        <v>28</v>
      </c>
      <c r="E47" s="4">
        <v>8</v>
      </c>
      <c r="F47" s="5" t="s">
        <v>103</v>
      </c>
      <c r="G47" s="6">
        <f>成本与现售价!$I$47</f>
        <v>3.1104</v>
      </c>
      <c r="H47" s="7">
        <f>MIN(0.95,MAX(费率与参数!$B$6,费率与参数!$B$5-(费率与参数!$B$5-费率与参数!$B$6)*(LN(MAX(G47,0.01))-LN(MIN(成本与现售价!$I$4:$I$172)))/(LN(MAX(成本与现售价!$I$4:$I$172))-LN(MIN(成本与现售价!$I$4:$I$172)))))</f>
        <v>0.368051846515546</v>
      </c>
      <c r="I47" s="8">
        <f>CEILING(G47/(1-H47)/费率与参数!$B$2,费率与参数!$B$3)*费率与参数!$B$2</f>
        <v>4.93</v>
      </c>
      <c r="J47" s="5">
        <f>I47/费率与参数!$B$2</f>
        <v>493</v>
      </c>
      <c r="K47" s="9">
        <f t="shared" si="0"/>
        <v>0.369087221095335</v>
      </c>
      <c r="L47" s="5">
        <f>成本与现售价!$J$47</f>
        <v>312</v>
      </c>
      <c r="M47" s="10">
        <f>I47/成本与现售价!$K$47-1</f>
        <v>0.580128205128205</v>
      </c>
    </row>
    <row r="48" spans="1:13">
      <c r="A48" s="4" t="s">
        <v>51</v>
      </c>
      <c r="B48" s="4" t="s">
        <v>40</v>
      </c>
      <c r="C48" s="4" t="s">
        <v>106</v>
      </c>
      <c r="D48" s="4" t="s">
        <v>28</v>
      </c>
      <c r="E48" s="4">
        <v>9</v>
      </c>
      <c r="F48" s="5" t="s">
        <v>103</v>
      </c>
      <c r="G48" s="6">
        <f>成本与现售价!$I$48</f>
        <v>3.4992</v>
      </c>
      <c r="H48" s="7">
        <f>MIN(0.95,MAX(费率与参数!$B$6,费率与参数!$B$5-(费率与参数!$B$5-费率与参数!$B$6)*(LN(MAX(G48,0.01))-LN(MIN(成本与现售价!$I$4:$I$172)))/(LN(MAX(成本与现售价!$I$4:$I$172))-LN(MIN(成本与现售价!$I$4:$I$172)))))</f>
        <v>0.359909784985631</v>
      </c>
      <c r="I48" s="8">
        <f>CEILING(G48/(1-H48)/费率与参数!$B$2,费率与参数!$B$3)*费率与参数!$B$2</f>
        <v>5.47</v>
      </c>
      <c r="J48" s="5">
        <f>I48/费率与参数!$B$2</f>
        <v>547</v>
      </c>
      <c r="K48" s="9">
        <f t="shared" si="0"/>
        <v>0.360292504570384</v>
      </c>
      <c r="L48" s="5">
        <f>成本与现售价!$J$48</f>
        <v>350</v>
      </c>
      <c r="M48" s="10">
        <f>I48/成本与现售价!$K$48-1</f>
        <v>0.562857142857143</v>
      </c>
    </row>
    <row r="49" spans="1:13">
      <c r="A49" s="4" t="s">
        <v>51</v>
      </c>
      <c r="B49" s="4" t="s">
        <v>40</v>
      </c>
      <c r="C49" s="4" t="s">
        <v>106</v>
      </c>
      <c r="D49" s="4" t="s">
        <v>28</v>
      </c>
      <c r="E49" s="4">
        <v>10</v>
      </c>
      <c r="F49" s="5" t="s">
        <v>103</v>
      </c>
      <c r="G49" s="6">
        <f>成本与现售价!$I$49</f>
        <v>3.888</v>
      </c>
      <c r="H49" s="7">
        <f>MIN(0.95,MAX(费率与参数!$B$6,费率与参数!$B$5-(费率与参数!$B$5-费率与参数!$B$6)*(LN(MAX(G49,0.01))-LN(MIN(成本与现售价!$I$4:$I$172)))/(LN(MAX(成本与现售价!$I$4:$I$172))-LN(MIN(成本与现售价!$I$4:$I$172)))))</f>
        <v>0.352626462760754</v>
      </c>
      <c r="I49" s="8">
        <f>CEILING(G49/(1-H49)/费率与参数!$B$2,费率与参数!$B$3)*费率与参数!$B$2</f>
        <v>6.01</v>
      </c>
      <c r="J49" s="5">
        <f>I49/费率与参数!$B$2</f>
        <v>601</v>
      </c>
      <c r="K49" s="9">
        <f t="shared" si="0"/>
        <v>0.353078202995008</v>
      </c>
      <c r="L49" s="5">
        <f>成本与现售价!$J$49</f>
        <v>389</v>
      </c>
      <c r="M49" s="10">
        <f>I49/成本与现售价!$K$49-1</f>
        <v>0.544987146529563</v>
      </c>
    </row>
    <row r="50" spans="1:13">
      <c r="A50" s="4" t="s">
        <v>51</v>
      </c>
      <c r="B50" s="4" t="s">
        <v>40</v>
      </c>
      <c r="C50" s="4" t="s">
        <v>106</v>
      </c>
      <c r="D50" s="4" t="s">
        <v>28</v>
      </c>
      <c r="E50" s="4">
        <v>11</v>
      </c>
      <c r="F50" s="5" t="s">
        <v>103</v>
      </c>
      <c r="G50" s="6">
        <f>成本与现售价!$I$50</f>
        <v>4.2768</v>
      </c>
      <c r="H50" s="7">
        <f>MIN(0.95,MAX(费率与参数!$B$6,费率与参数!$B$5-(费率与参数!$B$5-费率与参数!$B$6)*(LN(MAX(G50,0.01))-LN(MIN(成本与现售价!$I$4:$I$172)))/(LN(MAX(成本与现售价!$I$4:$I$172))-LN(MIN(成本与现售价!$I$4:$I$172)))))</f>
        <v>0.34603789638471</v>
      </c>
      <c r="I50" s="8">
        <f>CEILING(G50/(1-H50)/费率与参数!$B$2,费率与参数!$B$3)*费率与参数!$B$2</f>
        <v>6.54</v>
      </c>
      <c r="J50" s="5">
        <f>I50/费率与参数!$B$2</f>
        <v>654</v>
      </c>
      <c r="K50" s="9">
        <f t="shared" si="0"/>
        <v>0.34605504587156</v>
      </c>
      <c r="L50" s="5">
        <f>成本与现售价!$J$50</f>
        <v>428</v>
      </c>
      <c r="M50" s="10">
        <f>I50/成本与现售价!$K$50-1</f>
        <v>0.52803738317757</v>
      </c>
    </row>
    <row r="51" spans="1:13">
      <c r="A51" s="4" t="s">
        <v>51</v>
      </c>
      <c r="B51" s="4" t="s">
        <v>40</v>
      </c>
      <c r="C51" s="4" t="s">
        <v>106</v>
      </c>
      <c r="D51" s="4" t="s">
        <v>28</v>
      </c>
      <c r="E51" s="4">
        <v>12</v>
      </c>
      <c r="F51" s="5" t="s">
        <v>103</v>
      </c>
      <c r="G51" s="6">
        <f>成本与现售价!$I$51</f>
        <v>4.6656</v>
      </c>
      <c r="H51" s="7">
        <f>MIN(0.95,MAX(费率与参数!$B$6,费率与参数!$B$5-(费率与参数!$B$5-费率与参数!$B$6)*(LN(MAX(G51,0.01))-LN(MIN(成本与现售价!$I$4:$I$172)))/(LN(MAX(成本与现售价!$I$4:$I$172))-LN(MIN(成本与现售价!$I$4:$I$172)))))</f>
        <v>0.340023006538272</v>
      </c>
      <c r="I51" s="8">
        <f>CEILING(G51/(1-H51)/费率与参数!$B$2,费率与参数!$B$3)*费率与参数!$B$2</f>
        <v>7.07</v>
      </c>
      <c r="J51" s="5">
        <f>I51/费率与参数!$B$2</f>
        <v>707</v>
      </c>
      <c r="K51" s="9">
        <f t="shared" si="0"/>
        <v>0.34008486562942</v>
      </c>
      <c r="L51" s="5">
        <f>成本与现售价!$J$51</f>
        <v>467</v>
      </c>
      <c r="M51" s="10">
        <f>I51/成本与现售价!$K$51-1</f>
        <v>0.513918629550321</v>
      </c>
    </row>
    <row r="52" spans="1:13">
      <c r="A52" s="4" t="s">
        <v>51</v>
      </c>
      <c r="B52" s="4" t="s">
        <v>40</v>
      </c>
      <c r="C52" s="4" t="s">
        <v>106</v>
      </c>
      <c r="D52" s="4" t="s">
        <v>28</v>
      </c>
      <c r="E52" s="4">
        <v>13</v>
      </c>
      <c r="F52" s="5" t="s">
        <v>103</v>
      </c>
      <c r="G52" s="6">
        <f>成本与现售价!$I$52</f>
        <v>5.0544</v>
      </c>
      <c r="H52" s="7">
        <f>MIN(0.95,MAX(费率与参数!$B$6,费率与参数!$B$5-(费率与参数!$B$5-费率与参数!$B$6)*(LN(MAX(G52,0.01))-LN(MIN(成本与现售价!$I$4:$I$172)))/(LN(MAX(成本与现售价!$I$4:$I$172))-LN(MIN(成本与现售价!$I$4:$I$172)))))</f>
        <v>0.334489844251641</v>
      </c>
      <c r="I52" s="8">
        <f>CEILING(G52/(1-H52)/费率与参数!$B$2,费率与参数!$B$3)*费率与参数!$B$2</f>
        <v>7.6</v>
      </c>
      <c r="J52" s="5">
        <f>I52/费率与参数!$B$2</f>
        <v>760</v>
      </c>
      <c r="K52" s="9">
        <f t="shared" si="0"/>
        <v>0.334947368421053</v>
      </c>
      <c r="L52" s="5">
        <f>成本与现售价!$J$52</f>
        <v>506</v>
      </c>
      <c r="M52" s="10">
        <f>I52/成本与现售价!$K$52-1</f>
        <v>0.50197628458498</v>
      </c>
    </row>
    <row r="53" spans="1:13">
      <c r="A53" s="4" t="s">
        <v>51</v>
      </c>
      <c r="B53" s="4" t="s">
        <v>40</v>
      </c>
      <c r="C53" s="4" t="s">
        <v>106</v>
      </c>
      <c r="D53" s="4" t="s">
        <v>28</v>
      </c>
      <c r="E53" s="4">
        <v>14</v>
      </c>
      <c r="F53" s="5" t="s">
        <v>103</v>
      </c>
      <c r="G53" s="6">
        <f>成本与现售价!$I$53</f>
        <v>5.4432</v>
      </c>
      <c r="H53" s="7">
        <f>MIN(0.95,MAX(费率与参数!$B$6,费率与参数!$B$5-(费率与参数!$B$5-费率与参数!$B$6)*(LN(MAX(G53,0.01))-LN(MIN(成本与现售价!$I$4:$I$172)))/(LN(MAX(成本与现售价!$I$4:$I$172))-LN(MIN(成本与现售价!$I$4:$I$172)))))</f>
        <v>0.329366936136985</v>
      </c>
      <c r="I53" s="8">
        <f>CEILING(G53/(1-H53)/费率与参数!$B$2,费率与参数!$B$3)*费率与参数!$B$2</f>
        <v>8.12</v>
      </c>
      <c r="J53" s="5">
        <f>I53/费率与参数!$B$2</f>
        <v>812</v>
      </c>
      <c r="K53" s="9">
        <f t="shared" si="0"/>
        <v>0.329655172413793</v>
      </c>
      <c r="L53" s="5">
        <f>成本与现售价!$J$53</f>
        <v>545</v>
      </c>
      <c r="M53" s="10">
        <f>I53/成本与现售价!$K$53-1</f>
        <v>0.489908256880734</v>
      </c>
    </row>
    <row r="54" spans="1:13">
      <c r="A54" s="4" t="s">
        <v>51</v>
      </c>
      <c r="B54" s="4" t="s">
        <v>40</v>
      </c>
      <c r="C54" s="4" t="s">
        <v>106</v>
      </c>
      <c r="D54" s="4" t="s">
        <v>28</v>
      </c>
      <c r="E54" s="4">
        <v>15</v>
      </c>
      <c r="F54" s="5" t="s">
        <v>103</v>
      </c>
      <c r="G54" s="6">
        <f>成本与现售价!$I$54</f>
        <v>5.832</v>
      </c>
      <c r="H54" s="7">
        <f>MIN(0.95,MAX(费率与参数!$B$6,费率与参数!$B$5-(费率与参数!$B$5-费率与参数!$B$6)*(LN(MAX(G54,0.01))-LN(MIN(成本与现售价!$I$4:$I$172)))/(LN(MAX(成本与现售价!$I$4:$I$172))-LN(MIN(成本与现售价!$I$4:$I$172)))))</f>
        <v>0.324597622783481</v>
      </c>
      <c r="I54" s="8">
        <f>CEILING(G54/(1-H54)/费率与参数!$B$2,费率与参数!$B$3)*费率与参数!$B$2</f>
        <v>8.64</v>
      </c>
      <c r="J54" s="5">
        <f>I54/费率与参数!$B$2</f>
        <v>864</v>
      </c>
      <c r="K54" s="9">
        <f t="shared" si="0"/>
        <v>0.325</v>
      </c>
      <c r="L54" s="5">
        <f>成本与现售价!$J$54</f>
        <v>584</v>
      </c>
      <c r="M54" s="10">
        <f>I54/成本与现售价!$K$54-1</f>
        <v>0.479452054794521</v>
      </c>
    </row>
    <row r="55" spans="1:13">
      <c r="A55" s="4" t="s">
        <v>51</v>
      </c>
      <c r="B55" s="4" t="s">
        <v>40</v>
      </c>
      <c r="C55" s="4" t="s">
        <v>106</v>
      </c>
      <c r="D55" s="4" t="s">
        <v>29</v>
      </c>
      <c r="E55" s="4">
        <v>4</v>
      </c>
      <c r="F55" s="5" t="s">
        <v>103</v>
      </c>
      <c r="G55" s="6">
        <f>成本与现售价!$I$55</f>
        <v>5.832</v>
      </c>
      <c r="H55" s="7">
        <f>MIN(0.95,MAX(费率与参数!$B$6,费率与参数!$B$5-(费率与参数!$B$5-费率与参数!$B$6)*(LN(MAX(G55,0.01))-LN(MIN(成本与现售价!$I$4:$I$172)))/(LN(MAX(成本与现售价!$I$4:$I$172))-LN(MIN(成本与现售价!$I$4:$I$172)))))</f>
        <v>0.324597622783481</v>
      </c>
      <c r="I55" s="8">
        <f>CEILING(G55/(1-H55)/费率与参数!$B$2,费率与参数!$B$3)*费率与参数!$B$2</f>
        <v>8.64</v>
      </c>
      <c r="J55" s="5">
        <f>I55/费率与参数!$B$2</f>
        <v>864</v>
      </c>
      <c r="K55" s="9">
        <f t="shared" si="0"/>
        <v>0.325</v>
      </c>
      <c r="L55" s="5">
        <f>成本与现售价!$J$55</f>
        <v>584</v>
      </c>
      <c r="M55" s="10">
        <f>I55/成本与现售价!$K$55-1</f>
        <v>0.479452054794521</v>
      </c>
    </row>
    <row r="56" spans="1:13">
      <c r="A56" s="4" t="s">
        <v>51</v>
      </c>
      <c r="B56" s="4" t="s">
        <v>40</v>
      </c>
      <c r="C56" s="4" t="s">
        <v>106</v>
      </c>
      <c r="D56" s="4" t="s">
        <v>29</v>
      </c>
      <c r="E56" s="4">
        <v>5</v>
      </c>
      <c r="F56" s="5" t="s">
        <v>103</v>
      </c>
      <c r="G56" s="6">
        <f>成本与现售价!$I$56</f>
        <v>7.29</v>
      </c>
      <c r="H56" s="7">
        <f>MIN(0.95,MAX(费率与参数!$B$6,费率与参数!$B$5-(费率与参数!$B$5-费率与参数!$B$6)*(LN(MAX(G56,0.01))-LN(MIN(成本与现售价!$I$4:$I$172)))/(LN(MAX(成本与现售价!$I$4:$I$172))-LN(MIN(成本与现售价!$I$4:$I$172)))))</f>
        <v>0.309172239028689</v>
      </c>
      <c r="I56" s="8">
        <f>CEILING(G56/(1-H56)/费率与参数!$B$2,费率与参数!$B$3)*费率与参数!$B$2</f>
        <v>10.56</v>
      </c>
      <c r="J56" s="5">
        <f>I56/费率与参数!$B$2</f>
        <v>1056</v>
      </c>
      <c r="K56" s="9">
        <f t="shared" si="0"/>
        <v>0.309659090909091</v>
      </c>
      <c r="L56" s="5">
        <f>成本与现售价!$J$56</f>
        <v>729</v>
      </c>
      <c r="M56" s="10">
        <f>I56/成本与现售价!$K$56-1</f>
        <v>0.448559670781893</v>
      </c>
    </row>
    <row r="57" spans="1:13">
      <c r="A57" s="4" t="s">
        <v>51</v>
      </c>
      <c r="B57" s="4" t="s">
        <v>40</v>
      </c>
      <c r="C57" s="4" t="s">
        <v>106</v>
      </c>
      <c r="D57" s="4" t="s">
        <v>29</v>
      </c>
      <c r="E57" s="4">
        <v>6</v>
      </c>
      <c r="F57" s="5" t="s">
        <v>103</v>
      </c>
      <c r="G57" s="6">
        <f>成本与现售价!$I$57</f>
        <v>8.748</v>
      </c>
      <c r="H57" s="7">
        <f>MIN(0.95,MAX(费率与参数!$B$6,费率与参数!$B$5-(费率与参数!$B$5-费率与参数!$B$6)*(LN(MAX(G57,0.01))-LN(MIN(成本与现售价!$I$4:$I$172)))/(LN(MAX(成本与现售价!$I$4:$I$172))-LN(MIN(成本与现售价!$I$4:$I$172)))))</f>
        <v>0.296568782806207</v>
      </c>
      <c r="I57" s="8">
        <f>CEILING(G57/(1-H57)/费率与参数!$B$2,费率与参数!$B$3)*费率与参数!$B$2</f>
        <v>12.44</v>
      </c>
      <c r="J57" s="5">
        <f>I57/费率与参数!$B$2</f>
        <v>1244</v>
      </c>
      <c r="K57" s="9">
        <f t="shared" si="0"/>
        <v>0.296784565916399</v>
      </c>
      <c r="L57" s="5">
        <f>成本与现售价!$J$57</f>
        <v>875</v>
      </c>
      <c r="M57" s="10">
        <f>I57/成本与现售价!$K$57-1</f>
        <v>0.421714285714286</v>
      </c>
    </row>
    <row r="58" spans="1:13">
      <c r="A58" s="4" t="s">
        <v>51</v>
      </c>
      <c r="B58" s="4" t="s">
        <v>40</v>
      </c>
      <c r="C58" s="4" t="s">
        <v>106</v>
      </c>
      <c r="D58" s="4" t="s">
        <v>29</v>
      </c>
      <c r="E58" s="4">
        <v>7</v>
      </c>
      <c r="F58" s="5" t="s">
        <v>103</v>
      </c>
      <c r="G58" s="6">
        <f>成本与现售价!$I$58</f>
        <v>10.206</v>
      </c>
      <c r="H58" s="7">
        <f>MIN(0.95,MAX(费率与参数!$B$6,费率与参数!$B$5-(费率与参数!$B$5-费率与参数!$B$6)*(LN(MAX(G58,0.01))-LN(MIN(成本与现售价!$I$4:$I$172)))/(LN(MAX(成本与现售价!$I$4:$I$172))-LN(MIN(成本与现售价!$I$4:$I$172)))))</f>
        <v>0.28591271240492</v>
      </c>
      <c r="I58" s="8">
        <f>CEILING(G58/(1-H58)/费率与参数!$B$2,费率与参数!$B$3)*费率与参数!$B$2</f>
        <v>14.3</v>
      </c>
      <c r="J58" s="5">
        <f>I58/费率与参数!$B$2</f>
        <v>1430</v>
      </c>
      <c r="K58" s="9">
        <f t="shared" si="0"/>
        <v>0.286293706293706</v>
      </c>
      <c r="L58" s="5">
        <f>成本与现售价!$J$58</f>
        <v>1021</v>
      </c>
      <c r="M58" s="10">
        <f>I58/成本与现售价!$K$58-1</f>
        <v>0.400587659157688</v>
      </c>
    </row>
    <row r="59" spans="1:13">
      <c r="A59" s="4" t="s">
        <v>51</v>
      </c>
      <c r="B59" s="4" t="s">
        <v>40</v>
      </c>
      <c r="C59" s="4" t="s">
        <v>106</v>
      </c>
      <c r="D59" s="4" t="s">
        <v>29</v>
      </c>
      <c r="E59" s="4">
        <v>8</v>
      </c>
      <c r="F59" s="5" t="s">
        <v>103</v>
      </c>
      <c r="G59" s="6">
        <f>成本与现售价!$I$59</f>
        <v>11.664</v>
      </c>
      <c r="H59" s="7">
        <f>MIN(0.95,MAX(费率与参数!$B$6,费率与参数!$B$5-(费率与参数!$B$5-费率与参数!$B$6)*(LN(MAX(G59,0.01))-LN(MIN(成本与现售价!$I$4:$I$172)))/(LN(MAX(成本与现售价!$I$4:$I$172))-LN(MIN(成本与现售价!$I$4:$I$172)))))</f>
        <v>0.276682004358848</v>
      </c>
      <c r="I59" s="8">
        <f>CEILING(G59/(1-H59)/费率与参数!$B$2,费率与参数!$B$3)*费率与参数!$B$2</f>
        <v>16.13</v>
      </c>
      <c r="J59" s="5">
        <f>I59/费率与参数!$B$2</f>
        <v>1613</v>
      </c>
      <c r="K59" s="9">
        <f t="shared" si="0"/>
        <v>0.276875387476751</v>
      </c>
      <c r="L59" s="5">
        <f>成本与现售价!$J$59</f>
        <v>1167</v>
      </c>
      <c r="M59" s="10">
        <f>I59/成本与现售价!$K$59-1</f>
        <v>0.382176520994002</v>
      </c>
    </row>
    <row r="60" spans="1:13">
      <c r="A60" s="4" t="s">
        <v>51</v>
      </c>
      <c r="B60" s="4" t="s">
        <v>40</v>
      </c>
      <c r="C60" s="4" t="s">
        <v>106</v>
      </c>
      <c r="D60" s="4" t="s">
        <v>29</v>
      </c>
      <c r="E60" s="4">
        <v>9</v>
      </c>
      <c r="F60" s="5" t="s">
        <v>103</v>
      </c>
      <c r="G60" s="6">
        <f>成本与现售价!$I$60</f>
        <v>13.122</v>
      </c>
      <c r="H60" s="7">
        <f>MIN(0.95,MAX(费率与参数!$B$6,费率与参数!$B$5-(费率与参数!$B$5-费率与参数!$B$6)*(LN(MAX(G60,0.01))-LN(MIN(成本与现售价!$I$4:$I$172)))/(LN(MAX(成本与现售价!$I$4:$I$172))-LN(MIN(成本与现售价!$I$4:$I$172)))))</f>
        <v>0.268539942828933</v>
      </c>
      <c r="I60" s="8">
        <f>CEILING(G60/(1-H60)/费率与参数!$B$2,费率与参数!$B$3)*费率与参数!$B$2</f>
        <v>17.94</v>
      </c>
      <c r="J60" s="5">
        <f>I60/费率与参数!$B$2</f>
        <v>1794</v>
      </c>
      <c r="K60" s="9">
        <f t="shared" si="0"/>
        <v>0.268561872909699</v>
      </c>
      <c r="L60" s="5">
        <f>成本与现售价!$J$60</f>
        <v>1313</v>
      </c>
      <c r="M60" s="10">
        <f>I60/成本与现售价!$K$60-1</f>
        <v>0.366336633663366</v>
      </c>
    </row>
    <row r="61" spans="1:13">
      <c r="A61" s="4" t="s">
        <v>51</v>
      </c>
      <c r="B61" s="4" t="s">
        <v>40</v>
      </c>
      <c r="C61" s="4" t="s">
        <v>106</v>
      </c>
      <c r="D61" s="4" t="s">
        <v>29</v>
      </c>
      <c r="E61" s="4">
        <v>10</v>
      </c>
      <c r="F61" s="5" t="s">
        <v>103</v>
      </c>
      <c r="G61" s="6">
        <f>成本与现售价!$I$61</f>
        <v>14.58</v>
      </c>
      <c r="H61" s="7">
        <f>MIN(0.95,MAX(费率与参数!$B$6,费率与参数!$B$5-(费率与参数!$B$5-费率与参数!$B$6)*(LN(MAX(G61,0.01))-LN(MIN(成本与现售价!$I$4:$I$172)))/(LN(MAX(成本与现售价!$I$4:$I$172))-LN(MIN(成本与现售价!$I$4:$I$172)))))</f>
        <v>0.261256620604057</v>
      </c>
      <c r="I61" s="8">
        <f>CEILING(G61/(1-H61)/费率与参数!$B$2,费率与参数!$B$3)*费率与参数!$B$2</f>
        <v>19.74</v>
      </c>
      <c r="J61" s="5">
        <f>I61/费率与参数!$B$2</f>
        <v>1974</v>
      </c>
      <c r="K61" s="9">
        <f t="shared" si="0"/>
        <v>0.261398176291793</v>
      </c>
      <c r="L61" s="5">
        <f>成本与现售价!$J$61</f>
        <v>1458</v>
      </c>
      <c r="M61" s="10">
        <f>I61/成本与现售价!$K$61-1</f>
        <v>0.353909465020576</v>
      </c>
    </row>
    <row r="62" spans="1:13">
      <c r="A62" s="4" t="s">
        <v>51</v>
      </c>
      <c r="B62" s="4" t="s">
        <v>40</v>
      </c>
      <c r="C62" s="4" t="s">
        <v>106</v>
      </c>
      <c r="D62" s="4" t="s">
        <v>29</v>
      </c>
      <c r="E62" s="4">
        <v>11</v>
      </c>
      <c r="F62" s="5" t="s">
        <v>103</v>
      </c>
      <c r="G62" s="6">
        <f>成本与现售价!$I$62</f>
        <v>16.038</v>
      </c>
      <c r="H62" s="7">
        <f>MIN(0.95,MAX(费率与参数!$B$6,费率与参数!$B$5-(费率与参数!$B$5-费率与参数!$B$6)*(LN(MAX(G62,0.01))-LN(MIN(成本与现售价!$I$4:$I$172)))/(LN(MAX(成本与现售价!$I$4:$I$172))-LN(MIN(成本与现售价!$I$4:$I$172)))))</f>
        <v>0.254668054228012</v>
      </c>
      <c r="I62" s="8">
        <f>CEILING(G62/(1-H62)/费率与参数!$B$2,费率与参数!$B$3)*费率与参数!$B$2</f>
        <v>21.52</v>
      </c>
      <c r="J62" s="5">
        <f>I62/费率与参数!$B$2</f>
        <v>2152</v>
      </c>
      <c r="K62" s="9">
        <f t="shared" si="0"/>
        <v>0.254739776951673</v>
      </c>
      <c r="L62" s="5">
        <f>成本与现售价!$J$62</f>
        <v>1604</v>
      </c>
      <c r="M62" s="10">
        <f>I62/成本与现售价!$K$62-1</f>
        <v>0.341645885286783</v>
      </c>
    </row>
    <row r="63" spans="1:13">
      <c r="A63" s="4" t="s">
        <v>51</v>
      </c>
      <c r="B63" s="4" t="s">
        <v>40</v>
      </c>
      <c r="C63" s="4" t="s">
        <v>106</v>
      </c>
      <c r="D63" s="4" t="s">
        <v>29</v>
      </c>
      <c r="E63" s="4">
        <v>12</v>
      </c>
      <c r="F63" s="5" t="s">
        <v>103</v>
      </c>
      <c r="G63" s="6">
        <f>成本与现售价!$I$63</f>
        <v>17.496</v>
      </c>
      <c r="H63" s="7">
        <f>MIN(0.95,MAX(费率与参数!$B$6,费率与参数!$B$5-(费率与参数!$B$5-费率与参数!$B$6)*(LN(MAX(G63,0.01))-LN(MIN(成本与现售价!$I$4:$I$172)))/(LN(MAX(成本与现售价!$I$4:$I$172))-LN(MIN(成本与现售价!$I$4:$I$172)))))</f>
        <v>0.248653164381575</v>
      </c>
      <c r="I63" s="8">
        <f>CEILING(G63/(1-H63)/费率与参数!$B$2,费率与参数!$B$3)*费率与参数!$B$2</f>
        <v>23.29</v>
      </c>
      <c r="J63" s="5">
        <f>I63/费率与参数!$B$2</f>
        <v>2329</v>
      </c>
      <c r="K63" s="9">
        <f t="shared" si="0"/>
        <v>0.248776298840704</v>
      </c>
      <c r="L63" s="5">
        <f>成本与现售价!$J$63</f>
        <v>1750</v>
      </c>
      <c r="M63" s="10">
        <f>I63/成本与现售价!$K$63-1</f>
        <v>0.330857142857143</v>
      </c>
    </row>
    <row r="64" spans="1:13">
      <c r="A64" s="4" t="s">
        <v>51</v>
      </c>
      <c r="B64" s="4" t="s">
        <v>40</v>
      </c>
      <c r="C64" s="4" t="s">
        <v>106</v>
      </c>
      <c r="D64" s="4" t="s">
        <v>29</v>
      </c>
      <c r="E64" s="4">
        <v>13</v>
      </c>
      <c r="F64" s="5" t="s">
        <v>103</v>
      </c>
      <c r="G64" s="6">
        <f>成本与现售价!$I$64</f>
        <v>18.954</v>
      </c>
      <c r="H64" s="7">
        <f>MIN(0.95,MAX(费率与参数!$B$6,费率与参数!$B$5-(费率与参数!$B$5-费率与参数!$B$6)*(LN(MAX(G64,0.01))-LN(MIN(成本与现售价!$I$4:$I$172)))/(LN(MAX(成本与现售价!$I$4:$I$172))-LN(MIN(成本与现售价!$I$4:$I$172)))))</f>
        <v>0.243120002094943</v>
      </c>
      <c r="I64" s="8">
        <f>CEILING(G64/(1-H64)/费率与参数!$B$2,费率与参数!$B$3)*费率与参数!$B$2</f>
        <v>25.05</v>
      </c>
      <c r="J64" s="5">
        <f>I64/费率与参数!$B$2</f>
        <v>2505</v>
      </c>
      <c r="K64" s="9">
        <f t="shared" si="0"/>
        <v>0.243353293413174</v>
      </c>
      <c r="L64" s="5">
        <f>成本与现售价!$J$64</f>
        <v>1896</v>
      </c>
      <c r="M64" s="10">
        <f>I64/成本与现售价!$K$64-1</f>
        <v>0.32120253164557</v>
      </c>
    </row>
    <row r="65" spans="1:13">
      <c r="A65" s="4" t="s">
        <v>51</v>
      </c>
      <c r="B65" s="4" t="s">
        <v>40</v>
      </c>
      <c r="C65" s="4" t="s">
        <v>106</v>
      </c>
      <c r="D65" s="4" t="s">
        <v>29</v>
      </c>
      <c r="E65" s="4">
        <v>14</v>
      </c>
      <c r="F65" s="5" t="s">
        <v>103</v>
      </c>
      <c r="G65" s="6">
        <f>成本与现售价!$I$65</f>
        <v>20.412</v>
      </c>
      <c r="H65" s="7">
        <f>MIN(0.95,MAX(费率与参数!$B$6,费率与参数!$B$5-(费率与参数!$B$5-费率与参数!$B$6)*(LN(MAX(G65,0.01))-LN(MIN(成本与现售价!$I$4:$I$172)))/(LN(MAX(成本与现售价!$I$4:$I$172))-LN(MIN(成本与现售价!$I$4:$I$172)))))</f>
        <v>0.237997093980287</v>
      </c>
      <c r="I65" s="8">
        <f>CEILING(G65/(1-H65)/费率与参数!$B$2,费率与参数!$B$3)*费率与参数!$B$2</f>
        <v>26.79</v>
      </c>
      <c r="J65" s="5">
        <f>I65/费率与参数!$B$2</f>
        <v>2679</v>
      </c>
      <c r="K65" s="9">
        <f t="shared" si="0"/>
        <v>0.238073908174692</v>
      </c>
      <c r="L65" s="5">
        <f>成本与现售价!$J$65</f>
        <v>2042</v>
      </c>
      <c r="M65" s="10">
        <f>I65/成本与现售价!$K$65-1</f>
        <v>0.311949069539667</v>
      </c>
    </row>
    <row r="66" spans="1:13">
      <c r="A66" s="4" t="s">
        <v>51</v>
      </c>
      <c r="B66" s="4" t="s">
        <v>40</v>
      </c>
      <c r="C66" s="4" t="s">
        <v>106</v>
      </c>
      <c r="D66" s="4" t="s">
        <v>29</v>
      </c>
      <c r="E66" s="4">
        <v>15</v>
      </c>
      <c r="F66" s="5" t="s">
        <v>103</v>
      </c>
      <c r="G66" s="6">
        <f>成本与现售价!$I$66</f>
        <v>21.87</v>
      </c>
      <c r="H66" s="7">
        <f>MIN(0.95,MAX(费率与参数!$B$6,费率与参数!$B$5-(费率与参数!$B$5-费率与参数!$B$6)*(LN(MAX(G66,0.01))-LN(MIN(成本与现售价!$I$4:$I$172)))/(LN(MAX(成本与现售价!$I$4:$I$172))-LN(MIN(成本与现售价!$I$4:$I$172)))))</f>
        <v>0.233227780626783</v>
      </c>
      <c r="I66" s="8">
        <f>CEILING(G66/(1-H66)/费率与参数!$B$2,费率与参数!$B$3)*费率与参数!$B$2</f>
        <v>28.53</v>
      </c>
      <c r="J66" s="5">
        <f>I66/费率与参数!$B$2</f>
        <v>2853</v>
      </c>
      <c r="K66" s="9">
        <f t="shared" si="0"/>
        <v>0.233438485804416</v>
      </c>
      <c r="L66" s="5">
        <f>成本与现售价!$J$66</f>
        <v>2187</v>
      </c>
      <c r="M66" s="10">
        <f>I66/成本与现售价!$K$66-1</f>
        <v>0.304526748971193</v>
      </c>
    </row>
    <row r="67" spans="1:13">
      <c r="A67" s="4" t="s">
        <v>57</v>
      </c>
      <c r="B67" s="4" t="s">
        <v>58</v>
      </c>
      <c r="C67" s="4" t="s">
        <v>107</v>
      </c>
      <c r="D67" s="4" t="s">
        <v>59</v>
      </c>
      <c r="E67" s="4">
        <v>4</v>
      </c>
      <c r="F67" s="5">
        <v>0</v>
      </c>
      <c r="G67" s="6">
        <f>成本与现售价!$I$67</f>
        <v>2</v>
      </c>
      <c r="H67" s="7">
        <f>MIN(0.95,MAX(费率与参数!$B$6,费率与参数!$B$5-(费率与参数!$B$5-费率与参数!$B$6)*(LN(MAX(G67,0.01))-LN(MIN(成本与现售价!$I$4:$I$172)))/(LN(MAX(成本与现售价!$I$4:$I$172))-LN(MIN(成本与现售价!$I$4:$I$172)))))</f>
        <v>0.398578892958115</v>
      </c>
      <c r="I67" s="8">
        <f>CEILING(G67/(1-H67)/费率与参数!$B$2,费率与参数!$B$3)*费率与参数!$B$2</f>
        <v>3.33</v>
      </c>
      <c r="J67" s="5">
        <f>I67/费率与参数!$B$2</f>
        <v>333</v>
      </c>
      <c r="K67" s="9">
        <f t="shared" si="0"/>
        <v>0.399399399399399</v>
      </c>
      <c r="L67" s="5">
        <f>成本与现售价!$J$67</f>
        <v>200</v>
      </c>
      <c r="M67" s="10">
        <f>I67/成本与现售价!$K$67-1</f>
        <v>0.665</v>
      </c>
    </row>
    <row r="68" spans="1:13">
      <c r="A68" s="4" t="s">
        <v>57</v>
      </c>
      <c r="B68" s="4" t="s">
        <v>58</v>
      </c>
      <c r="C68" s="4" t="s">
        <v>107</v>
      </c>
      <c r="D68" s="4" t="s">
        <v>59</v>
      </c>
      <c r="E68" s="4">
        <v>5</v>
      </c>
      <c r="F68" s="5">
        <v>0</v>
      </c>
      <c r="G68" s="6">
        <f>成本与现售价!$I$68</f>
        <v>2.5</v>
      </c>
      <c r="H68" s="7">
        <f>MIN(0.95,MAX(费率与参数!$B$6,费率与参数!$B$5-(费率与参数!$B$5-费率与参数!$B$6)*(LN(MAX(G68,0.01))-LN(MIN(成本与现售价!$I$4:$I$172)))/(LN(MAX(成本与现售价!$I$4:$I$172))-LN(MIN(成本与现售价!$I$4:$I$172)))))</f>
        <v>0.383153509203324</v>
      </c>
      <c r="I68" s="8">
        <f>CEILING(G68/(1-H68)/费率与参数!$B$2,费率与参数!$B$3)*费率与参数!$B$2</f>
        <v>4.06</v>
      </c>
      <c r="J68" s="5">
        <f>I68/费率与参数!$B$2</f>
        <v>406</v>
      </c>
      <c r="K68" s="9">
        <f t="shared" ref="K68:K131" si="1">1-G68/I68</f>
        <v>0.384236453201971</v>
      </c>
      <c r="L68" s="5">
        <f>成本与现售价!$J$68</f>
        <v>250</v>
      </c>
      <c r="M68" s="10">
        <f>I68/成本与现售价!$K$68-1</f>
        <v>0.624</v>
      </c>
    </row>
    <row r="69" spans="1:13">
      <c r="A69" s="4" t="s">
        <v>57</v>
      </c>
      <c r="B69" s="4" t="s">
        <v>58</v>
      </c>
      <c r="C69" s="4" t="s">
        <v>107</v>
      </c>
      <c r="D69" s="4" t="s">
        <v>59</v>
      </c>
      <c r="E69" s="4">
        <v>6</v>
      </c>
      <c r="F69" s="5">
        <v>0</v>
      </c>
      <c r="G69" s="6">
        <f>成本与现售价!$I$69</f>
        <v>3</v>
      </c>
      <c r="H69" s="7">
        <f>MIN(0.95,MAX(费率与参数!$B$6,费率与参数!$B$5-(费率与参数!$B$5-费率与参数!$B$6)*(LN(MAX(G69,0.01))-LN(MIN(成本与现售价!$I$4:$I$172)))/(LN(MAX(成本与现售价!$I$4:$I$172))-LN(MIN(成本与现售价!$I$4:$I$172)))))</f>
        <v>0.370550052980842</v>
      </c>
      <c r="I69" s="8">
        <f>CEILING(G69/(1-H69)/费率与参数!$B$2,费率与参数!$B$3)*费率与参数!$B$2</f>
        <v>4.77</v>
      </c>
      <c r="J69" s="5">
        <f>I69/费率与参数!$B$2</f>
        <v>477</v>
      </c>
      <c r="K69" s="9">
        <f t="shared" si="1"/>
        <v>0.371069182389937</v>
      </c>
      <c r="L69" s="5">
        <f>成本与现售价!$J$69</f>
        <v>300</v>
      </c>
      <c r="M69" s="10">
        <f>I69/成本与现售价!$K$69-1</f>
        <v>0.59</v>
      </c>
    </row>
    <row r="70" spans="1:13">
      <c r="A70" s="4" t="s">
        <v>57</v>
      </c>
      <c r="B70" s="4" t="s">
        <v>58</v>
      </c>
      <c r="C70" s="4" t="s">
        <v>107</v>
      </c>
      <c r="D70" s="4" t="s">
        <v>59</v>
      </c>
      <c r="E70" s="4">
        <v>7</v>
      </c>
      <c r="F70" s="5">
        <v>0</v>
      </c>
      <c r="G70" s="6">
        <f>成本与现售价!$I$70</f>
        <v>3.5</v>
      </c>
      <c r="H70" s="7">
        <f>MIN(0.95,MAX(费率与参数!$B$6,费率与参数!$B$5-(费率与参数!$B$5-费率与参数!$B$6)*(LN(MAX(G70,0.01))-LN(MIN(成本与现售价!$I$4:$I$172)))/(LN(MAX(成本与现售价!$I$4:$I$172))-LN(MIN(成本与现售价!$I$4:$I$172)))))</f>
        <v>0.359893982579554</v>
      </c>
      <c r="I70" s="8">
        <f>CEILING(G70/(1-H70)/费率与参数!$B$2,费率与参数!$B$3)*费率与参数!$B$2</f>
        <v>5.47</v>
      </c>
      <c r="J70" s="5">
        <f>I70/费率与参数!$B$2</f>
        <v>547</v>
      </c>
      <c r="K70" s="9">
        <f t="shared" si="1"/>
        <v>0.360146252285192</v>
      </c>
      <c r="L70" s="5">
        <f>成本与现售价!$J$70</f>
        <v>350</v>
      </c>
      <c r="M70" s="10">
        <f>I70/成本与现售价!$K$70-1</f>
        <v>0.562857142857143</v>
      </c>
    </row>
    <row r="71" spans="1:13">
      <c r="A71" s="4" t="s">
        <v>57</v>
      </c>
      <c r="B71" s="4" t="s">
        <v>58</v>
      </c>
      <c r="C71" s="4" t="s">
        <v>107</v>
      </c>
      <c r="D71" s="4" t="s">
        <v>59</v>
      </c>
      <c r="E71" s="4">
        <v>8</v>
      </c>
      <c r="F71" s="5">
        <v>0</v>
      </c>
      <c r="G71" s="6">
        <f>成本与现售价!$I$71</f>
        <v>4</v>
      </c>
      <c r="H71" s="7">
        <f>MIN(0.95,MAX(费率与参数!$B$6,费率与参数!$B$5-(费率与参数!$B$5-费率与参数!$B$6)*(LN(MAX(G71,0.01))-LN(MIN(成本与现售价!$I$4:$I$172)))/(LN(MAX(成本与现售价!$I$4:$I$172))-LN(MIN(成本与现售价!$I$4:$I$172)))))</f>
        <v>0.350663274533483</v>
      </c>
      <c r="I71" s="8">
        <f>CEILING(G71/(1-H71)/费率与参数!$B$2,费率与参数!$B$3)*费率与参数!$B$2</f>
        <v>6.17</v>
      </c>
      <c r="J71" s="5">
        <f>I71/费率与参数!$B$2</f>
        <v>617</v>
      </c>
      <c r="K71" s="9">
        <f t="shared" si="1"/>
        <v>0.351701782820097</v>
      </c>
      <c r="L71" s="5">
        <f>成本与现售价!$J$71</f>
        <v>400</v>
      </c>
      <c r="M71" s="10">
        <f>I71/成本与现售价!$K$71-1</f>
        <v>0.5425</v>
      </c>
    </row>
    <row r="72" spans="1:13">
      <c r="A72" s="4" t="s">
        <v>57</v>
      </c>
      <c r="B72" s="4" t="s">
        <v>58</v>
      </c>
      <c r="C72" s="4" t="s">
        <v>107</v>
      </c>
      <c r="D72" s="4" t="s">
        <v>59</v>
      </c>
      <c r="E72" s="4">
        <v>9</v>
      </c>
      <c r="F72" s="5">
        <v>0</v>
      </c>
      <c r="G72" s="6">
        <f>成本与现售价!$I$72</f>
        <v>4.5</v>
      </c>
      <c r="H72" s="7">
        <f>MIN(0.95,MAX(费率与参数!$B$6,费率与参数!$B$5-(费率与参数!$B$5-费率与参数!$B$6)*(LN(MAX(G72,0.01))-LN(MIN(成本与现售价!$I$4:$I$172)))/(LN(MAX(成本与现售价!$I$4:$I$172))-LN(MIN(成本与现售价!$I$4:$I$172)))))</f>
        <v>0.342521213003568</v>
      </c>
      <c r="I72" s="8">
        <f>CEILING(G72/(1-H72)/费率与参数!$B$2,费率与参数!$B$3)*费率与参数!$B$2</f>
        <v>6.85</v>
      </c>
      <c r="J72" s="5">
        <f>I72/费率与参数!$B$2</f>
        <v>685</v>
      </c>
      <c r="K72" s="9">
        <f t="shared" si="1"/>
        <v>0.343065693430657</v>
      </c>
      <c r="L72" s="5">
        <f>成本与现售价!$J$72</f>
        <v>450</v>
      </c>
      <c r="M72" s="10">
        <f>I72/成本与现售价!$K$72-1</f>
        <v>0.522222222222222</v>
      </c>
    </row>
    <row r="73" spans="1:13">
      <c r="A73" s="4" t="s">
        <v>57</v>
      </c>
      <c r="B73" s="4" t="s">
        <v>58</v>
      </c>
      <c r="C73" s="4" t="s">
        <v>107</v>
      </c>
      <c r="D73" s="4" t="s">
        <v>59</v>
      </c>
      <c r="E73" s="4">
        <v>10</v>
      </c>
      <c r="F73" s="5">
        <v>0</v>
      </c>
      <c r="G73" s="6">
        <f>成本与现售价!$I$73</f>
        <v>5</v>
      </c>
      <c r="H73" s="7">
        <f>MIN(0.95,MAX(费率与参数!$B$6,费率与参数!$B$5-(费率与参数!$B$5-费率与参数!$B$6)*(LN(MAX(G73,0.01))-LN(MIN(成本与现售价!$I$4:$I$172)))/(LN(MAX(成本与现售价!$I$4:$I$172))-LN(MIN(成本与现售价!$I$4:$I$172)))))</f>
        <v>0.335237890778691</v>
      </c>
      <c r="I73" s="8">
        <f>CEILING(G73/(1-H73)/费率与参数!$B$2,费率与参数!$B$3)*费率与参数!$B$2</f>
        <v>7.53</v>
      </c>
      <c r="J73" s="5">
        <f>I73/费率与参数!$B$2</f>
        <v>753</v>
      </c>
      <c r="K73" s="9">
        <f t="shared" si="1"/>
        <v>0.335989375830013</v>
      </c>
      <c r="L73" s="5">
        <f>成本与现售价!$J$73</f>
        <v>500</v>
      </c>
      <c r="M73" s="10">
        <f>I73/成本与现售价!$K$73-1</f>
        <v>0.506</v>
      </c>
    </row>
    <row r="74" spans="1:13">
      <c r="A74" s="4" t="s">
        <v>57</v>
      </c>
      <c r="B74" s="4" t="s">
        <v>58</v>
      </c>
      <c r="C74" s="4" t="s">
        <v>107</v>
      </c>
      <c r="D74" s="4" t="s">
        <v>59</v>
      </c>
      <c r="E74" s="4">
        <v>11</v>
      </c>
      <c r="F74" s="5">
        <v>0</v>
      </c>
      <c r="G74" s="6">
        <f>成本与现售价!$I$74</f>
        <v>5.5</v>
      </c>
      <c r="H74" s="7">
        <f>MIN(0.95,MAX(费率与参数!$B$6,费率与参数!$B$5-(费率与参数!$B$5-费率与参数!$B$6)*(LN(MAX(G74,0.01))-LN(MIN(成本与现售价!$I$4:$I$172)))/(LN(MAX(成本与现售价!$I$4:$I$172))-LN(MIN(成本与现售价!$I$4:$I$172)))))</f>
        <v>0.328649324402647</v>
      </c>
      <c r="I74" s="8">
        <f>CEILING(G74/(1-H74)/费率与参数!$B$2,费率与参数!$B$3)*费率与参数!$B$2</f>
        <v>8.2</v>
      </c>
      <c r="J74" s="5">
        <f>I74/费率与参数!$B$2</f>
        <v>820</v>
      </c>
      <c r="K74" s="9">
        <f t="shared" si="1"/>
        <v>0.329268292682927</v>
      </c>
      <c r="L74" s="5">
        <f>成本与现售价!$J$74</f>
        <v>550</v>
      </c>
      <c r="M74" s="10">
        <f>I74/成本与现售价!$K$74-1</f>
        <v>0.490909090909091</v>
      </c>
    </row>
    <row r="75" spans="1:13">
      <c r="A75" s="4" t="s">
        <v>57</v>
      </c>
      <c r="B75" s="4" t="s">
        <v>58</v>
      </c>
      <c r="C75" s="4" t="s">
        <v>107</v>
      </c>
      <c r="D75" s="4" t="s">
        <v>59</v>
      </c>
      <c r="E75" s="4">
        <v>12</v>
      </c>
      <c r="F75" s="5">
        <v>0</v>
      </c>
      <c r="G75" s="6">
        <f>成本与现售价!$I$75</f>
        <v>6</v>
      </c>
      <c r="H75" s="7">
        <f>MIN(0.95,MAX(费率与参数!$B$6,费率与参数!$B$5-(费率与参数!$B$5-费率与参数!$B$6)*(LN(MAX(G75,0.01))-LN(MIN(成本与现售价!$I$4:$I$172)))/(LN(MAX(成本与现售价!$I$4:$I$172))-LN(MIN(成本与现售价!$I$4:$I$172)))))</f>
        <v>0.322634434556209</v>
      </c>
      <c r="I75" s="8">
        <f>CEILING(G75/(1-H75)/费率与参数!$B$2,费率与参数!$B$3)*费率与参数!$B$2</f>
        <v>8.86</v>
      </c>
      <c r="J75" s="5">
        <f>I75/费率与参数!$B$2</f>
        <v>886</v>
      </c>
      <c r="K75" s="9">
        <f t="shared" si="1"/>
        <v>0.322799097065463</v>
      </c>
      <c r="L75" s="5">
        <f>成本与现售价!$J$75</f>
        <v>600</v>
      </c>
      <c r="M75" s="10">
        <f>I75/成本与现售价!$K$75-1</f>
        <v>0.476666666666667</v>
      </c>
    </row>
    <row r="76" spans="1:13">
      <c r="A76" s="4" t="s">
        <v>57</v>
      </c>
      <c r="B76" s="4" t="s">
        <v>58</v>
      </c>
      <c r="C76" s="4" t="s">
        <v>107</v>
      </c>
      <c r="D76" s="4" t="s">
        <v>59</v>
      </c>
      <c r="E76" s="4">
        <v>13</v>
      </c>
      <c r="F76" s="5">
        <v>0</v>
      </c>
      <c r="G76" s="6">
        <f>成本与现售价!$I$76</f>
        <v>6.5</v>
      </c>
      <c r="H76" s="7">
        <f>MIN(0.95,MAX(费率与参数!$B$6,费率与参数!$B$5-(费率与参数!$B$5-费率与参数!$B$6)*(LN(MAX(G76,0.01))-LN(MIN(成本与现售价!$I$4:$I$172)))/(LN(MAX(成本与现售价!$I$4:$I$172))-LN(MIN(成本与现售价!$I$4:$I$172)))))</f>
        <v>0.317101272269577</v>
      </c>
      <c r="I76" s="8">
        <f>CEILING(G76/(1-H76)/费率与参数!$B$2,费率与参数!$B$3)*费率与参数!$B$2</f>
        <v>9.52</v>
      </c>
      <c r="J76" s="5">
        <f>I76/费率与参数!$B$2</f>
        <v>952</v>
      </c>
      <c r="K76" s="9">
        <f t="shared" si="1"/>
        <v>0.317226890756303</v>
      </c>
      <c r="L76" s="5">
        <f>成本与现售价!$J$76</f>
        <v>650</v>
      </c>
      <c r="M76" s="10">
        <f>I76/成本与现售价!$K$76-1</f>
        <v>0.464615384615385</v>
      </c>
    </row>
    <row r="77" spans="1:13">
      <c r="A77" s="4" t="s">
        <v>57</v>
      </c>
      <c r="B77" s="4" t="s">
        <v>58</v>
      </c>
      <c r="C77" s="4" t="s">
        <v>107</v>
      </c>
      <c r="D77" s="4" t="s">
        <v>59</v>
      </c>
      <c r="E77" s="4">
        <v>14</v>
      </c>
      <c r="F77" s="5">
        <v>0</v>
      </c>
      <c r="G77" s="6">
        <f>成本与现售价!$I$77</f>
        <v>7</v>
      </c>
      <c r="H77" s="7">
        <f>MIN(0.95,MAX(费率与参数!$B$6,费率与参数!$B$5-(费率与参数!$B$5-费率与参数!$B$6)*(LN(MAX(G77,0.01))-LN(MIN(成本与现售价!$I$4:$I$172)))/(LN(MAX(成本与现售价!$I$4:$I$172))-LN(MIN(成本与现售价!$I$4:$I$172)))))</f>
        <v>0.311978364154922</v>
      </c>
      <c r="I77" s="8">
        <f>CEILING(G77/(1-H77)/费率与参数!$B$2,费率与参数!$B$3)*费率与参数!$B$2</f>
        <v>10.18</v>
      </c>
      <c r="J77" s="5">
        <f>I77/费率与参数!$B$2</f>
        <v>1018</v>
      </c>
      <c r="K77" s="9">
        <f t="shared" si="1"/>
        <v>0.31237721021611</v>
      </c>
      <c r="L77" s="5">
        <f>成本与现售价!$J$77</f>
        <v>700</v>
      </c>
      <c r="M77" s="10">
        <f>I77/成本与现售价!$K$77-1</f>
        <v>0.454285714285714</v>
      </c>
    </row>
    <row r="78" spans="1:13">
      <c r="A78" s="4" t="s">
        <v>57</v>
      </c>
      <c r="B78" s="4" t="s">
        <v>58</v>
      </c>
      <c r="C78" s="4" t="s">
        <v>107</v>
      </c>
      <c r="D78" s="4" t="s">
        <v>59</v>
      </c>
      <c r="E78" s="4">
        <v>15</v>
      </c>
      <c r="F78" s="5">
        <v>0</v>
      </c>
      <c r="G78" s="6">
        <f>成本与现售价!$I$78</f>
        <v>7.5</v>
      </c>
      <c r="H78" s="7">
        <f>MIN(0.95,MAX(费率与参数!$B$6,费率与参数!$B$5-(费率与参数!$B$5-费率与参数!$B$6)*(LN(MAX(G78,0.01))-LN(MIN(成本与现售价!$I$4:$I$172)))/(LN(MAX(成本与现售价!$I$4:$I$172))-LN(MIN(成本与现售价!$I$4:$I$172)))))</f>
        <v>0.307209050801417</v>
      </c>
      <c r="I78" s="8">
        <f>CEILING(G78/(1-H78)/费率与参数!$B$2,费率与参数!$B$3)*费率与参数!$B$2</f>
        <v>10.83</v>
      </c>
      <c r="J78" s="5">
        <f>I78/费率与参数!$B$2</f>
        <v>1083</v>
      </c>
      <c r="K78" s="9">
        <f t="shared" si="1"/>
        <v>0.307479224376731</v>
      </c>
      <c r="L78" s="5">
        <f>成本与现售价!$J$78</f>
        <v>750</v>
      </c>
      <c r="M78" s="10">
        <f>I78/成本与现售价!$K$78-1</f>
        <v>0.444</v>
      </c>
    </row>
    <row r="79" spans="1:13">
      <c r="A79" s="4" t="s">
        <v>57</v>
      </c>
      <c r="B79" s="4" t="s">
        <v>58</v>
      </c>
      <c r="C79" s="4" t="s">
        <v>107</v>
      </c>
      <c r="D79" s="4" t="s">
        <v>64</v>
      </c>
      <c r="E79" s="4">
        <v>4</v>
      </c>
      <c r="F79" s="5">
        <v>0</v>
      </c>
      <c r="G79" s="6">
        <f>成本与现售价!$I$79</f>
        <v>3.2</v>
      </c>
      <c r="H79" s="7">
        <f>MIN(0.95,MAX(费率与参数!$B$6,费率与参数!$B$5-(费率与参数!$B$5-费率与参数!$B$6)*(LN(MAX(G79,0.01))-LN(MIN(成本与现售价!$I$4:$I$172)))/(LN(MAX(成本与现售价!$I$4:$I$172))-LN(MIN(成本与现售价!$I$4:$I$172)))))</f>
        <v>0.366088658288275</v>
      </c>
      <c r="I79" s="8">
        <f>CEILING(G79/(1-H79)/费率与参数!$B$2,费率与参数!$B$3)*费率与参数!$B$2</f>
        <v>5.05</v>
      </c>
      <c r="J79" s="5">
        <f>I79/费率与参数!$B$2</f>
        <v>505</v>
      </c>
      <c r="K79" s="9">
        <f t="shared" si="1"/>
        <v>0.366336633663366</v>
      </c>
      <c r="L79" s="5">
        <f>成本与现售价!$J$79</f>
        <v>320</v>
      </c>
      <c r="M79" s="10">
        <f>I79/成本与现售价!$K$79-1</f>
        <v>0.578125</v>
      </c>
    </row>
    <row r="80" spans="1:13">
      <c r="A80" s="4" t="s">
        <v>57</v>
      </c>
      <c r="B80" s="4" t="s">
        <v>58</v>
      </c>
      <c r="C80" s="4" t="s">
        <v>107</v>
      </c>
      <c r="D80" s="4" t="s">
        <v>64</v>
      </c>
      <c r="E80" s="4">
        <v>5</v>
      </c>
      <c r="F80" s="5">
        <v>0</v>
      </c>
      <c r="G80" s="6">
        <f>成本与现售价!$I$80</f>
        <v>4</v>
      </c>
      <c r="H80" s="7">
        <f>MIN(0.95,MAX(费率与参数!$B$6,费率与参数!$B$5-(费率与参数!$B$5-费率与参数!$B$6)*(LN(MAX(G80,0.01))-LN(MIN(成本与现售价!$I$4:$I$172)))/(LN(MAX(成本与现售价!$I$4:$I$172))-LN(MIN(成本与现售价!$I$4:$I$172)))))</f>
        <v>0.350663274533483</v>
      </c>
      <c r="I80" s="8">
        <f>CEILING(G80/(1-H80)/费率与参数!$B$2,费率与参数!$B$3)*费率与参数!$B$2</f>
        <v>6.17</v>
      </c>
      <c r="J80" s="5">
        <f>I80/费率与参数!$B$2</f>
        <v>617</v>
      </c>
      <c r="K80" s="9">
        <f t="shared" si="1"/>
        <v>0.351701782820097</v>
      </c>
      <c r="L80" s="5">
        <f>成本与现售价!$J$80</f>
        <v>400</v>
      </c>
      <c r="M80" s="10">
        <f>I80/成本与现售价!$K$80-1</f>
        <v>0.5425</v>
      </c>
    </row>
    <row r="81" spans="1:13">
      <c r="A81" s="4" t="s">
        <v>57</v>
      </c>
      <c r="B81" s="4" t="s">
        <v>58</v>
      </c>
      <c r="C81" s="4" t="s">
        <v>107</v>
      </c>
      <c r="D81" s="4" t="s">
        <v>64</v>
      </c>
      <c r="E81" s="4">
        <v>6</v>
      </c>
      <c r="F81" s="5">
        <v>0</v>
      </c>
      <c r="G81" s="6">
        <f>成本与现售价!$I$81</f>
        <v>4.8</v>
      </c>
      <c r="H81" s="7">
        <f>MIN(0.95,MAX(费率与参数!$B$6,费率与参数!$B$5-(费率与参数!$B$5-费率与参数!$B$6)*(LN(MAX(G81,0.01))-LN(MIN(成本与现售价!$I$4:$I$172)))/(LN(MAX(成本与现售价!$I$4:$I$172))-LN(MIN(成本与现售价!$I$4:$I$172)))))</f>
        <v>0.338059818311001</v>
      </c>
      <c r="I81" s="8">
        <f>CEILING(G81/(1-H81)/费率与参数!$B$2,费率与参数!$B$3)*费率与参数!$B$2</f>
        <v>7.26</v>
      </c>
      <c r="J81" s="5">
        <f>I81/费率与参数!$B$2</f>
        <v>726</v>
      </c>
      <c r="K81" s="9">
        <f t="shared" si="1"/>
        <v>0.338842975206611</v>
      </c>
      <c r="L81" s="5">
        <f>成本与现售价!$J$81</f>
        <v>480</v>
      </c>
      <c r="M81" s="10">
        <f>I81/成本与现售价!$K$81-1</f>
        <v>0.5125</v>
      </c>
    </row>
    <row r="82" spans="1:13">
      <c r="A82" s="4" t="s">
        <v>57</v>
      </c>
      <c r="B82" s="4" t="s">
        <v>58</v>
      </c>
      <c r="C82" s="4" t="s">
        <v>107</v>
      </c>
      <c r="D82" s="4" t="s">
        <v>64</v>
      </c>
      <c r="E82" s="4">
        <v>7</v>
      </c>
      <c r="F82" s="5">
        <v>0</v>
      </c>
      <c r="G82" s="6">
        <f>成本与现售价!$I$82</f>
        <v>5.6</v>
      </c>
      <c r="H82" s="7">
        <f>MIN(0.95,MAX(费率与参数!$B$6,费率与参数!$B$5-(费率与参数!$B$5-费率与参数!$B$6)*(LN(MAX(G82,0.01))-LN(MIN(成本与现售价!$I$4:$I$172)))/(LN(MAX(成本与现售价!$I$4:$I$172))-LN(MIN(成本与现售价!$I$4:$I$172)))))</f>
        <v>0.327403747909714</v>
      </c>
      <c r="I82" s="8">
        <f>CEILING(G82/(1-H82)/费率与参数!$B$2,费率与参数!$B$3)*费率与参数!$B$2</f>
        <v>8.33</v>
      </c>
      <c r="J82" s="5">
        <f>I82/费率与参数!$B$2</f>
        <v>833</v>
      </c>
      <c r="K82" s="9">
        <f t="shared" si="1"/>
        <v>0.327731092436975</v>
      </c>
      <c r="L82" s="5">
        <f>成本与现售价!$J$82</f>
        <v>560</v>
      </c>
      <c r="M82" s="10">
        <f>I82/成本与现售价!$K$82-1</f>
        <v>0.4875</v>
      </c>
    </row>
    <row r="83" spans="1:13">
      <c r="A83" s="4" t="s">
        <v>57</v>
      </c>
      <c r="B83" s="4" t="s">
        <v>58</v>
      </c>
      <c r="C83" s="4" t="s">
        <v>107</v>
      </c>
      <c r="D83" s="4" t="s">
        <v>64</v>
      </c>
      <c r="E83" s="4">
        <v>8</v>
      </c>
      <c r="F83" s="5">
        <v>0</v>
      </c>
      <c r="G83" s="6">
        <f>成本与现售价!$I$83</f>
        <v>6.4</v>
      </c>
      <c r="H83" s="7">
        <f>MIN(0.95,MAX(费率与参数!$B$6,费率与参数!$B$5-(费率与参数!$B$5-费率与参数!$B$6)*(LN(MAX(G83,0.01))-LN(MIN(成本与现售价!$I$4:$I$172)))/(LN(MAX(成本与现售价!$I$4:$I$172))-LN(MIN(成本与现售价!$I$4:$I$172)))))</f>
        <v>0.318173039863642</v>
      </c>
      <c r="I83" s="8">
        <f>CEILING(G83/(1-H83)/费率与参数!$B$2,费率与参数!$B$3)*费率与参数!$B$2</f>
        <v>9.39</v>
      </c>
      <c r="J83" s="5">
        <f>I83/费率与参数!$B$2</f>
        <v>939</v>
      </c>
      <c r="K83" s="9">
        <f t="shared" si="1"/>
        <v>0.318423855165069</v>
      </c>
      <c r="L83" s="5">
        <f>成本与现售价!$J$83</f>
        <v>640</v>
      </c>
      <c r="M83" s="10">
        <f>I83/成本与现售价!$K$83-1</f>
        <v>0.4671875</v>
      </c>
    </row>
    <row r="84" spans="1:13">
      <c r="A84" s="4" t="s">
        <v>57</v>
      </c>
      <c r="B84" s="4" t="s">
        <v>58</v>
      </c>
      <c r="C84" s="4" t="s">
        <v>107</v>
      </c>
      <c r="D84" s="4" t="s">
        <v>64</v>
      </c>
      <c r="E84" s="4">
        <v>9</v>
      </c>
      <c r="F84" s="5">
        <v>0</v>
      </c>
      <c r="G84" s="6">
        <f>成本与现售价!$I$84</f>
        <v>7.2</v>
      </c>
      <c r="H84" s="7">
        <f>MIN(0.95,MAX(费率与参数!$B$6,费率与参数!$B$5-(费率与参数!$B$5-费率与参数!$B$6)*(LN(MAX(G84,0.01))-LN(MIN(成本与现售价!$I$4:$I$172)))/(LN(MAX(成本与现售价!$I$4:$I$172))-LN(MIN(成本与现售价!$I$4:$I$172)))))</f>
        <v>0.310030978333727</v>
      </c>
      <c r="I84" s="8">
        <f>CEILING(G84/(1-H84)/费率与参数!$B$2,费率与参数!$B$3)*费率与参数!$B$2</f>
        <v>10.44</v>
      </c>
      <c r="J84" s="5">
        <f>I84/费率与参数!$B$2</f>
        <v>1044</v>
      </c>
      <c r="K84" s="9">
        <f t="shared" si="1"/>
        <v>0.310344827586207</v>
      </c>
      <c r="L84" s="5">
        <f>成本与现售价!$J$84</f>
        <v>720</v>
      </c>
      <c r="M84" s="10">
        <f>I84/成本与现售价!$K$84-1</f>
        <v>0.45</v>
      </c>
    </row>
    <row r="85" spans="1:13">
      <c r="A85" s="4" t="s">
        <v>57</v>
      </c>
      <c r="B85" s="4" t="s">
        <v>58</v>
      </c>
      <c r="C85" s="4" t="s">
        <v>107</v>
      </c>
      <c r="D85" s="4" t="s">
        <v>64</v>
      </c>
      <c r="E85" s="4">
        <v>10</v>
      </c>
      <c r="F85" s="5">
        <v>0</v>
      </c>
      <c r="G85" s="6">
        <f>成本与现售价!$I$85</f>
        <v>8</v>
      </c>
      <c r="H85" s="7">
        <f>MIN(0.95,MAX(费率与参数!$B$6,费率与参数!$B$5-(费率与参数!$B$5-费率与参数!$B$6)*(LN(MAX(G85,0.01))-LN(MIN(成本与现售价!$I$4:$I$172)))/(LN(MAX(成本与现售价!$I$4:$I$172))-LN(MIN(成本与现售价!$I$4:$I$172)))))</f>
        <v>0.30274765610885</v>
      </c>
      <c r="I85" s="8">
        <f>CEILING(G85/(1-H85)/费率与参数!$B$2,费率与参数!$B$3)*费率与参数!$B$2</f>
        <v>11.48</v>
      </c>
      <c r="J85" s="5">
        <f>I85/费率与参数!$B$2</f>
        <v>1148</v>
      </c>
      <c r="K85" s="9">
        <f t="shared" si="1"/>
        <v>0.303135888501742</v>
      </c>
      <c r="L85" s="5">
        <f>成本与现售价!$J$85</f>
        <v>800</v>
      </c>
      <c r="M85" s="10">
        <f>I85/成本与现售价!$K$85-1</f>
        <v>0.435</v>
      </c>
    </row>
    <row r="86" spans="1:13">
      <c r="A86" s="4" t="s">
        <v>57</v>
      </c>
      <c r="B86" s="4" t="s">
        <v>58</v>
      </c>
      <c r="C86" s="4" t="s">
        <v>107</v>
      </c>
      <c r="D86" s="4" t="s">
        <v>64</v>
      </c>
      <c r="E86" s="4">
        <v>11</v>
      </c>
      <c r="F86" s="5">
        <v>0</v>
      </c>
      <c r="G86" s="6">
        <f>成本与现售价!$I$86</f>
        <v>8.8</v>
      </c>
      <c r="H86" s="7">
        <f>MIN(0.95,MAX(费率与参数!$B$6,费率与参数!$B$5-(费率与参数!$B$5-费率与参数!$B$6)*(LN(MAX(G86,0.01))-LN(MIN(成本与现售价!$I$4:$I$172)))/(LN(MAX(成本与现售价!$I$4:$I$172))-LN(MIN(成本与现售价!$I$4:$I$172)))))</f>
        <v>0.296159089732806</v>
      </c>
      <c r="I86" s="8">
        <f>CEILING(G86/(1-H86)/费率与参数!$B$2,费率与参数!$B$3)*费率与参数!$B$2</f>
        <v>12.51</v>
      </c>
      <c r="J86" s="5">
        <f>I86/费率与参数!$B$2</f>
        <v>1251</v>
      </c>
      <c r="K86" s="9">
        <f t="shared" si="1"/>
        <v>0.29656274980016</v>
      </c>
      <c r="L86" s="5">
        <f>成本与现售价!$J$86</f>
        <v>880</v>
      </c>
      <c r="M86" s="10">
        <f>I86/成本与现售价!$K$86-1</f>
        <v>0.421590909090909</v>
      </c>
    </row>
    <row r="87" spans="1:13">
      <c r="A87" s="4" t="s">
        <v>57</v>
      </c>
      <c r="B87" s="4" t="s">
        <v>58</v>
      </c>
      <c r="C87" s="4" t="s">
        <v>107</v>
      </c>
      <c r="D87" s="4" t="s">
        <v>64</v>
      </c>
      <c r="E87" s="4">
        <v>12</v>
      </c>
      <c r="F87" s="5">
        <v>0</v>
      </c>
      <c r="G87" s="6">
        <f>成本与现售价!$I$87</f>
        <v>9.6</v>
      </c>
      <c r="H87" s="7">
        <f>MIN(0.95,MAX(费率与参数!$B$6,费率与参数!$B$5-(费率与参数!$B$5-费率与参数!$B$6)*(LN(MAX(G87,0.01))-LN(MIN(成本与现售价!$I$4:$I$172)))/(LN(MAX(成本与现售价!$I$4:$I$172))-LN(MIN(成本与现售价!$I$4:$I$172)))))</f>
        <v>0.290144199886369</v>
      </c>
      <c r="I87" s="8">
        <f>CEILING(G87/(1-H87)/费率与参数!$B$2,费率与参数!$B$3)*费率与参数!$B$2</f>
        <v>13.53</v>
      </c>
      <c r="J87" s="5">
        <f>I87/费率与参数!$B$2</f>
        <v>1353</v>
      </c>
      <c r="K87" s="9">
        <f t="shared" si="1"/>
        <v>0.290465631929047</v>
      </c>
      <c r="L87" s="5">
        <f>成本与现售价!$J$87</f>
        <v>960</v>
      </c>
      <c r="M87" s="10">
        <f>I87/成本与现售价!$K$87-1</f>
        <v>0.409375</v>
      </c>
    </row>
    <row r="88" spans="1:13">
      <c r="A88" s="4" t="s">
        <v>57</v>
      </c>
      <c r="B88" s="4" t="s">
        <v>58</v>
      </c>
      <c r="C88" s="4" t="s">
        <v>107</v>
      </c>
      <c r="D88" s="4" t="s">
        <v>64</v>
      </c>
      <c r="E88" s="4">
        <v>13</v>
      </c>
      <c r="F88" s="5">
        <v>0</v>
      </c>
      <c r="G88" s="6">
        <f>成本与现售价!$I$88</f>
        <v>10.4</v>
      </c>
      <c r="H88" s="7">
        <f>MIN(0.95,MAX(费率与参数!$B$6,费率与参数!$B$5-(费率与参数!$B$5-费率与参数!$B$6)*(LN(MAX(G88,0.01))-LN(MIN(成本与现售价!$I$4:$I$172)))/(LN(MAX(成本与现售价!$I$4:$I$172))-LN(MIN(成本与现售价!$I$4:$I$172)))))</f>
        <v>0.284611037599736</v>
      </c>
      <c r="I88" s="8">
        <f>CEILING(G88/(1-H88)/费率与参数!$B$2,费率与参数!$B$3)*费率与参数!$B$2</f>
        <v>14.54</v>
      </c>
      <c r="J88" s="5">
        <f>I88/费率与参数!$B$2</f>
        <v>1454</v>
      </c>
      <c r="K88" s="9">
        <f t="shared" si="1"/>
        <v>0.284731774415406</v>
      </c>
      <c r="L88" s="5">
        <f>成本与现售价!$J$88</f>
        <v>1040</v>
      </c>
      <c r="M88" s="10">
        <f>I88/成本与现售价!$K$88-1</f>
        <v>0.398076923076923</v>
      </c>
    </row>
    <row r="89" spans="1:13">
      <c r="A89" s="4" t="s">
        <v>57</v>
      </c>
      <c r="B89" s="4" t="s">
        <v>58</v>
      </c>
      <c r="C89" s="4" t="s">
        <v>107</v>
      </c>
      <c r="D89" s="4" t="s">
        <v>64</v>
      </c>
      <c r="E89" s="4">
        <v>14</v>
      </c>
      <c r="F89" s="5">
        <v>0</v>
      </c>
      <c r="G89" s="6">
        <f>成本与现售价!$I$89</f>
        <v>11.2</v>
      </c>
      <c r="H89" s="7">
        <f>MIN(0.95,MAX(费率与参数!$B$6,费率与参数!$B$5-(费率与参数!$B$5-费率与参数!$B$6)*(LN(MAX(G89,0.01))-LN(MIN(成本与现售价!$I$4:$I$172)))/(LN(MAX(成本与现售价!$I$4:$I$172))-LN(MIN(成本与现售价!$I$4:$I$172)))))</f>
        <v>0.279488129485081</v>
      </c>
      <c r="I89" s="8">
        <f>CEILING(G89/(1-H89)/费率与参数!$B$2,费率与参数!$B$3)*费率与参数!$B$2</f>
        <v>15.55</v>
      </c>
      <c r="J89" s="5">
        <f>I89/费率与参数!$B$2</f>
        <v>1555</v>
      </c>
      <c r="K89" s="9">
        <f t="shared" si="1"/>
        <v>0.279742765273312</v>
      </c>
      <c r="L89" s="5">
        <f>成本与现售价!$J$89</f>
        <v>1120</v>
      </c>
      <c r="M89" s="10">
        <f>I89/成本与现售价!$K$89-1</f>
        <v>0.388392857142857</v>
      </c>
    </row>
    <row r="90" spans="1:13">
      <c r="A90" s="4" t="s">
        <v>57</v>
      </c>
      <c r="B90" s="4" t="s">
        <v>58</v>
      </c>
      <c r="C90" s="4" t="s">
        <v>107</v>
      </c>
      <c r="D90" s="4" t="s">
        <v>64</v>
      </c>
      <c r="E90" s="4">
        <v>15</v>
      </c>
      <c r="F90" s="5">
        <v>0</v>
      </c>
      <c r="G90" s="6">
        <f>成本与现售价!$I$90</f>
        <v>12</v>
      </c>
      <c r="H90" s="7">
        <f>MIN(0.95,MAX(费率与参数!$B$6,费率与参数!$B$5-(费率与参数!$B$5-费率与参数!$B$6)*(LN(MAX(G90,0.01))-LN(MIN(成本与现售价!$I$4:$I$172)))/(LN(MAX(成本与现售价!$I$4:$I$172))-LN(MIN(成本与现售价!$I$4:$I$172)))))</f>
        <v>0.274718816131577</v>
      </c>
      <c r="I90" s="8">
        <f>CEILING(G90/(1-H90)/费率与参数!$B$2,费率与参数!$B$3)*费率与参数!$B$2</f>
        <v>16.55</v>
      </c>
      <c r="J90" s="5">
        <f>I90/费率与参数!$B$2</f>
        <v>1655</v>
      </c>
      <c r="K90" s="9">
        <f t="shared" si="1"/>
        <v>0.274924471299094</v>
      </c>
      <c r="L90" s="5">
        <f>成本与现售价!$J$90</f>
        <v>1200</v>
      </c>
      <c r="M90" s="10">
        <f>I90/成本与现售价!$K$90-1</f>
        <v>0.379166666666667</v>
      </c>
    </row>
    <row r="91" spans="1:13">
      <c r="A91" s="4" t="s">
        <v>67</v>
      </c>
      <c r="B91" s="4" t="s">
        <v>58</v>
      </c>
      <c r="C91" s="4" t="s">
        <v>109</v>
      </c>
      <c r="D91" s="4" t="s">
        <v>27</v>
      </c>
      <c r="E91" s="4">
        <v>5</v>
      </c>
      <c r="F91" s="5">
        <v>0</v>
      </c>
      <c r="G91" s="6">
        <f>成本与现售价!$I$91</f>
        <v>2.5</v>
      </c>
      <c r="H91" s="7">
        <f>MIN(0.95,MAX(费率与参数!$B$6,费率与参数!$B$5-(费率与参数!$B$5-费率与参数!$B$6)*(LN(MAX(G91,0.01))-LN(MIN(成本与现售价!$I$4:$I$172)))/(LN(MAX(成本与现售价!$I$4:$I$172))-LN(MIN(成本与现售价!$I$4:$I$172)))))</f>
        <v>0.383153509203324</v>
      </c>
      <c r="I91" s="8">
        <f>CEILING(G91/(1-H91)/费率与参数!$B$2,费率与参数!$B$3)*费率与参数!$B$2</f>
        <v>4.06</v>
      </c>
      <c r="J91" s="5">
        <f>I91/费率与参数!$B$2</f>
        <v>406</v>
      </c>
      <c r="K91" s="9">
        <f t="shared" si="1"/>
        <v>0.384236453201971</v>
      </c>
      <c r="L91" s="5">
        <f>成本与现售价!$J$91</f>
        <v>250</v>
      </c>
      <c r="M91" s="10">
        <f>I91/成本与现售价!$K$91-1</f>
        <v>0.624</v>
      </c>
    </row>
    <row r="92" spans="1:13">
      <c r="A92" s="4" t="s">
        <v>67</v>
      </c>
      <c r="B92" s="4" t="s">
        <v>58</v>
      </c>
      <c r="C92" s="4" t="s">
        <v>109</v>
      </c>
      <c r="D92" s="4" t="s">
        <v>27</v>
      </c>
      <c r="E92" s="4">
        <v>6</v>
      </c>
      <c r="F92" s="5">
        <v>0</v>
      </c>
      <c r="G92" s="6">
        <f>成本与现售价!$I$92</f>
        <v>3</v>
      </c>
      <c r="H92" s="7">
        <f>MIN(0.95,MAX(费率与参数!$B$6,费率与参数!$B$5-(费率与参数!$B$5-费率与参数!$B$6)*(LN(MAX(G92,0.01))-LN(MIN(成本与现售价!$I$4:$I$172)))/(LN(MAX(成本与现售价!$I$4:$I$172))-LN(MIN(成本与现售价!$I$4:$I$172)))))</f>
        <v>0.370550052980842</v>
      </c>
      <c r="I92" s="8">
        <f>CEILING(G92/(1-H92)/费率与参数!$B$2,费率与参数!$B$3)*费率与参数!$B$2</f>
        <v>4.77</v>
      </c>
      <c r="J92" s="5">
        <f>I92/费率与参数!$B$2</f>
        <v>477</v>
      </c>
      <c r="K92" s="9">
        <f t="shared" si="1"/>
        <v>0.371069182389937</v>
      </c>
      <c r="L92" s="5">
        <f>成本与现售价!$J$92</f>
        <v>300</v>
      </c>
      <c r="M92" s="10">
        <f>I92/成本与现售价!$K$92-1</f>
        <v>0.59</v>
      </c>
    </row>
    <row r="93" spans="1:13">
      <c r="A93" s="4" t="s">
        <v>67</v>
      </c>
      <c r="B93" s="4" t="s">
        <v>58</v>
      </c>
      <c r="C93" s="4" t="s">
        <v>109</v>
      </c>
      <c r="D93" s="4" t="s">
        <v>27</v>
      </c>
      <c r="E93" s="4">
        <v>7</v>
      </c>
      <c r="F93" s="5">
        <v>0</v>
      </c>
      <c r="G93" s="6">
        <f>成本与现售价!$I$93</f>
        <v>3.5</v>
      </c>
      <c r="H93" s="7">
        <f>MIN(0.95,MAX(费率与参数!$B$6,费率与参数!$B$5-(费率与参数!$B$5-费率与参数!$B$6)*(LN(MAX(G93,0.01))-LN(MIN(成本与现售价!$I$4:$I$172)))/(LN(MAX(成本与现售价!$I$4:$I$172))-LN(MIN(成本与现售价!$I$4:$I$172)))))</f>
        <v>0.359893982579554</v>
      </c>
      <c r="I93" s="8">
        <f>CEILING(G93/(1-H93)/费率与参数!$B$2,费率与参数!$B$3)*费率与参数!$B$2</f>
        <v>5.47</v>
      </c>
      <c r="J93" s="5">
        <f>I93/费率与参数!$B$2</f>
        <v>547</v>
      </c>
      <c r="K93" s="9">
        <f t="shared" si="1"/>
        <v>0.360146252285192</v>
      </c>
      <c r="L93" s="5">
        <f>成本与现售价!$J$93</f>
        <v>350</v>
      </c>
      <c r="M93" s="10">
        <f>I93/成本与现售价!$K$93-1</f>
        <v>0.562857142857143</v>
      </c>
    </row>
    <row r="94" spans="1:13">
      <c r="A94" s="4" t="s">
        <v>67</v>
      </c>
      <c r="B94" s="4" t="s">
        <v>58</v>
      </c>
      <c r="C94" s="4" t="s">
        <v>109</v>
      </c>
      <c r="D94" s="4" t="s">
        <v>27</v>
      </c>
      <c r="E94" s="4">
        <v>8</v>
      </c>
      <c r="F94" s="5">
        <v>0</v>
      </c>
      <c r="G94" s="6">
        <f>成本与现售价!$I$94</f>
        <v>4</v>
      </c>
      <c r="H94" s="7">
        <f>MIN(0.95,MAX(费率与参数!$B$6,费率与参数!$B$5-(费率与参数!$B$5-费率与参数!$B$6)*(LN(MAX(G94,0.01))-LN(MIN(成本与现售价!$I$4:$I$172)))/(LN(MAX(成本与现售价!$I$4:$I$172))-LN(MIN(成本与现售价!$I$4:$I$172)))))</f>
        <v>0.350663274533483</v>
      </c>
      <c r="I94" s="8">
        <f>CEILING(G94/(1-H94)/费率与参数!$B$2,费率与参数!$B$3)*费率与参数!$B$2</f>
        <v>6.17</v>
      </c>
      <c r="J94" s="5">
        <f>I94/费率与参数!$B$2</f>
        <v>617</v>
      </c>
      <c r="K94" s="9">
        <f t="shared" si="1"/>
        <v>0.351701782820097</v>
      </c>
      <c r="L94" s="5">
        <f>成本与现售价!$J$94</f>
        <v>400</v>
      </c>
      <c r="M94" s="10">
        <f>I94/成本与现售价!$K$94-1</f>
        <v>0.5425</v>
      </c>
    </row>
    <row r="95" spans="1:13">
      <c r="A95" s="4" t="s">
        <v>67</v>
      </c>
      <c r="B95" s="4" t="s">
        <v>58</v>
      </c>
      <c r="C95" s="4" t="s">
        <v>109</v>
      </c>
      <c r="D95" s="4" t="s">
        <v>27</v>
      </c>
      <c r="E95" s="4">
        <v>9</v>
      </c>
      <c r="F95" s="5">
        <v>0</v>
      </c>
      <c r="G95" s="6">
        <f>成本与现售价!$I$95</f>
        <v>4.5</v>
      </c>
      <c r="H95" s="7">
        <f>MIN(0.95,MAX(费率与参数!$B$6,费率与参数!$B$5-(费率与参数!$B$5-费率与参数!$B$6)*(LN(MAX(G95,0.01))-LN(MIN(成本与现售价!$I$4:$I$172)))/(LN(MAX(成本与现售价!$I$4:$I$172))-LN(MIN(成本与现售价!$I$4:$I$172)))))</f>
        <v>0.342521213003568</v>
      </c>
      <c r="I95" s="8">
        <f>CEILING(G95/(1-H95)/费率与参数!$B$2,费率与参数!$B$3)*费率与参数!$B$2</f>
        <v>6.85</v>
      </c>
      <c r="J95" s="5">
        <f>I95/费率与参数!$B$2</f>
        <v>685</v>
      </c>
      <c r="K95" s="9">
        <f t="shared" si="1"/>
        <v>0.343065693430657</v>
      </c>
      <c r="L95" s="5">
        <f>成本与现售价!$J$95</f>
        <v>450</v>
      </c>
      <c r="M95" s="10">
        <f>I95/成本与现售价!$K$95-1</f>
        <v>0.522222222222222</v>
      </c>
    </row>
    <row r="96" spans="1:13">
      <c r="A96" s="4" t="s">
        <v>67</v>
      </c>
      <c r="B96" s="4" t="s">
        <v>58</v>
      </c>
      <c r="C96" s="4" t="s">
        <v>109</v>
      </c>
      <c r="D96" s="4" t="s">
        <v>27</v>
      </c>
      <c r="E96" s="4">
        <v>10</v>
      </c>
      <c r="F96" s="5">
        <v>0</v>
      </c>
      <c r="G96" s="6">
        <f>成本与现售价!$I$96</f>
        <v>5</v>
      </c>
      <c r="H96" s="7">
        <f>MIN(0.95,MAX(费率与参数!$B$6,费率与参数!$B$5-(费率与参数!$B$5-费率与参数!$B$6)*(LN(MAX(G96,0.01))-LN(MIN(成本与现售价!$I$4:$I$172)))/(LN(MAX(成本与现售价!$I$4:$I$172))-LN(MIN(成本与现售价!$I$4:$I$172)))))</f>
        <v>0.335237890778691</v>
      </c>
      <c r="I96" s="8">
        <f>CEILING(G96/(1-H96)/费率与参数!$B$2,费率与参数!$B$3)*费率与参数!$B$2</f>
        <v>7.53</v>
      </c>
      <c r="J96" s="5">
        <f>I96/费率与参数!$B$2</f>
        <v>753</v>
      </c>
      <c r="K96" s="9">
        <f t="shared" si="1"/>
        <v>0.335989375830013</v>
      </c>
      <c r="L96" s="5">
        <f>成本与现售价!$J$96</f>
        <v>500</v>
      </c>
      <c r="M96" s="10">
        <f>I96/成本与现售价!$K$96-1</f>
        <v>0.506</v>
      </c>
    </row>
    <row r="97" spans="1:13">
      <c r="A97" s="4" t="s">
        <v>67</v>
      </c>
      <c r="B97" s="4" t="s">
        <v>58</v>
      </c>
      <c r="C97" s="4" t="s">
        <v>109</v>
      </c>
      <c r="D97" s="4" t="s">
        <v>27</v>
      </c>
      <c r="E97" s="4">
        <v>11</v>
      </c>
      <c r="F97" s="5">
        <v>0</v>
      </c>
      <c r="G97" s="6">
        <f>成本与现售价!$I$97</f>
        <v>5.5</v>
      </c>
      <c r="H97" s="7">
        <f>MIN(0.95,MAX(费率与参数!$B$6,费率与参数!$B$5-(费率与参数!$B$5-费率与参数!$B$6)*(LN(MAX(G97,0.01))-LN(MIN(成本与现售价!$I$4:$I$172)))/(LN(MAX(成本与现售价!$I$4:$I$172))-LN(MIN(成本与现售价!$I$4:$I$172)))))</f>
        <v>0.328649324402647</v>
      </c>
      <c r="I97" s="8">
        <f>CEILING(G97/(1-H97)/费率与参数!$B$2,费率与参数!$B$3)*费率与参数!$B$2</f>
        <v>8.2</v>
      </c>
      <c r="J97" s="5">
        <f>I97/费率与参数!$B$2</f>
        <v>820</v>
      </c>
      <c r="K97" s="9">
        <f t="shared" si="1"/>
        <v>0.329268292682927</v>
      </c>
      <c r="L97" s="5">
        <f>成本与现售价!$J$97</f>
        <v>550</v>
      </c>
      <c r="M97" s="10">
        <f>I97/成本与现售价!$K$97-1</f>
        <v>0.490909090909091</v>
      </c>
    </row>
    <row r="98" spans="1:13">
      <c r="A98" s="4" t="s">
        <v>67</v>
      </c>
      <c r="B98" s="4" t="s">
        <v>58</v>
      </c>
      <c r="C98" s="4" t="s">
        <v>109</v>
      </c>
      <c r="D98" s="4" t="s">
        <v>27</v>
      </c>
      <c r="E98" s="4">
        <v>12</v>
      </c>
      <c r="F98" s="5">
        <v>0</v>
      </c>
      <c r="G98" s="6">
        <f>成本与现售价!$I$98</f>
        <v>6</v>
      </c>
      <c r="H98" s="7">
        <f>MIN(0.95,MAX(费率与参数!$B$6,费率与参数!$B$5-(费率与参数!$B$5-费率与参数!$B$6)*(LN(MAX(G98,0.01))-LN(MIN(成本与现售价!$I$4:$I$172)))/(LN(MAX(成本与现售价!$I$4:$I$172))-LN(MIN(成本与现售价!$I$4:$I$172)))))</f>
        <v>0.322634434556209</v>
      </c>
      <c r="I98" s="8">
        <f>CEILING(G98/(1-H98)/费率与参数!$B$2,费率与参数!$B$3)*费率与参数!$B$2</f>
        <v>8.86</v>
      </c>
      <c r="J98" s="5">
        <f>I98/费率与参数!$B$2</f>
        <v>886</v>
      </c>
      <c r="K98" s="9">
        <f t="shared" si="1"/>
        <v>0.322799097065463</v>
      </c>
      <c r="L98" s="5">
        <f>成本与现售价!$J$98</f>
        <v>600</v>
      </c>
      <c r="M98" s="10">
        <f>I98/成本与现售价!$K$98-1</f>
        <v>0.476666666666667</v>
      </c>
    </row>
    <row r="99" spans="1:13">
      <c r="A99" s="4" t="s">
        <v>67</v>
      </c>
      <c r="B99" s="4" t="s">
        <v>58</v>
      </c>
      <c r="C99" s="4" t="s">
        <v>109</v>
      </c>
      <c r="D99" s="4" t="s">
        <v>27</v>
      </c>
      <c r="E99" s="4">
        <v>13</v>
      </c>
      <c r="F99" s="5">
        <v>0</v>
      </c>
      <c r="G99" s="6">
        <f>成本与现售价!$I$99</f>
        <v>6.5</v>
      </c>
      <c r="H99" s="7">
        <f>MIN(0.95,MAX(费率与参数!$B$6,费率与参数!$B$5-(费率与参数!$B$5-费率与参数!$B$6)*(LN(MAX(G99,0.01))-LN(MIN(成本与现售价!$I$4:$I$172)))/(LN(MAX(成本与现售价!$I$4:$I$172))-LN(MIN(成本与现售价!$I$4:$I$172)))))</f>
        <v>0.317101272269577</v>
      </c>
      <c r="I99" s="8">
        <f>CEILING(G99/(1-H99)/费率与参数!$B$2,费率与参数!$B$3)*费率与参数!$B$2</f>
        <v>9.52</v>
      </c>
      <c r="J99" s="5">
        <f>I99/费率与参数!$B$2</f>
        <v>952</v>
      </c>
      <c r="K99" s="9">
        <f t="shared" si="1"/>
        <v>0.317226890756303</v>
      </c>
      <c r="L99" s="5">
        <f>成本与现售价!$J$99</f>
        <v>650</v>
      </c>
      <c r="M99" s="10">
        <f>I99/成本与现售价!$K$99-1</f>
        <v>0.464615384615385</v>
      </c>
    </row>
    <row r="100" spans="1:13">
      <c r="A100" s="4" t="s">
        <v>67</v>
      </c>
      <c r="B100" s="4" t="s">
        <v>58</v>
      </c>
      <c r="C100" s="4" t="s">
        <v>109</v>
      </c>
      <c r="D100" s="4" t="s">
        <v>27</v>
      </c>
      <c r="E100" s="4">
        <v>14</v>
      </c>
      <c r="F100" s="5">
        <v>0</v>
      </c>
      <c r="G100" s="6">
        <f>成本与现售价!$I$100</f>
        <v>7</v>
      </c>
      <c r="H100" s="7">
        <f>MIN(0.95,MAX(费率与参数!$B$6,费率与参数!$B$5-(费率与参数!$B$5-费率与参数!$B$6)*(LN(MAX(G100,0.01))-LN(MIN(成本与现售价!$I$4:$I$172)))/(LN(MAX(成本与现售价!$I$4:$I$172))-LN(MIN(成本与现售价!$I$4:$I$172)))))</f>
        <v>0.311978364154922</v>
      </c>
      <c r="I100" s="8">
        <f>CEILING(G100/(1-H100)/费率与参数!$B$2,费率与参数!$B$3)*费率与参数!$B$2</f>
        <v>10.18</v>
      </c>
      <c r="J100" s="5">
        <f>I100/费率与参数!$B$2</f>
        <v>1018</v>
      </c>
      <c r="K100" s="9">
        <f t="shared" si="1"/>
        <v>0.31237721021611</v>
      </c>
      <c r="L100" s="5">
        <f>成本与现售价!$J$100</f>
        <v>700</v>
      </c>
      <c r="M100" s="10">
        <f>I100/成本与现售价!$K$100-1</f>
        <v>0.454285714285714</v>
      </c>
    </row>
    <row r="101" spans="1:13">
      <c r="A101" s="4" t="s">
        <v>67</v>
      </c>
      <c r="B101" s="4" t="s">
        <v>58</v>
      </c>
      <c r="C101" s="4" t="s">
        <v>109</v>
      </c>
      <c r="D101" s="4" t="s">
        <v>27</v>
      </c>
      <c r="E101" s="4">
        <v>15</v>
      </c>
      <c r="F101" s="5">
        <v>0</v>
      </c>
      <c r="G101" s="6">
        <f>成本与现售价!$I$101</f>
        <v>7.5</v>
      </c>
      <c r="H101" s="7">
        <f>MIN(0.95,MAX(费率与参数!$B$6,费率与参数!$B$5-(费率与参数!$B$5-费率与参数!$B$6)*(LN(MAX(G101,0.01))-LN(MIN(成本与现售价!$I$4:$I$172)))/(LN(MAX(成本与现售价!$I$4:$I$172))-LN(MIN(成本与现售价!$I$4:$I$172)))))</f>
        <v>0.307209050801417</v>
      </c>
      <c r="I101" s="8">
        <f>CEILING(G101/(1-H101)/费率与参数!$B$2,费率与参数!$B$3)*费率与参数!$B$2</f>
        <v>10.83</v>
      </c>
      <c r="J101" s="5">
        <f>I101/费率与参数!$B$2</f>
        <v>1083</v>
      </c>
      <c r="K101" s="9">
        <f t="shared" si="1"/>
        <v>0.307479224376731</v>
      </c>
      <c r="L101" s="5">
        <f>成本与现售价!$J$101</f>
        <v>750</v>
      </c>
      <c r="M101" s="10">
        <f>I101/成本与现售价!$K$101-1</f>
        <v>0.444</v>
      </c>
    </row>
    <row r="102" spans="1:13">
      <c r="A102" s="4" t="s">
        <v>67</v>
      </c>
      <c r="B102" s="4" t="s">
        <v>58</v>
      </c>
      <c r="C102" s="4" t="s">
        <v>109</v>
      </c>
      <c r="D102" s="4" t="s">
        <v>59</v>
      </c>
      <c r="E102" s="4">
        <v>5</v>
      </c>
      <c r="F102" s="5">
        <v>0</v>
      </c>
      <c r="G102" s="6">
        <f>成本与现售价!$I$102</f>
        <v>2.5</v>
      </c>
      <c r="H102" s="7">
        <f>MIN(0.95,MAX(费率与参数!$B$6,费率与参数!$B$5-(费率与参数!$B$5-费率与参数!$B$6)*(LN(MAX(G102,0.01))-LN(MIN(成本与现售价!$I$4:$I$172)))/(LN(MAX(成本与现售价!$I$4:$I$172))-LN(MIN(成本与现售价!$I$4:$I$172)))))</f>
        <v>0.383153509203324</v>
      </c>
      <c r="I102" s="8">
        <f>CEILING(G102/(1-H102)/费率与参数!$B$2,费率与参数!$B$3)*费率与参数!$B$2</f>
        <v>4.06</v>
      </c>
      <c r="J102" s="5">
        <f>I102/费率与参数!$B$2</f>
        <v>406</v>
      </c>
      <c r="K102" s="9">
        <f t="shared" si="1"/>
        <v>0.384236453201971</v>
      </c>
      <c r="L102" s="5">
        <f>成本与现售价!$J$102</f>
        <v>250</v>
      </c>
      <c r="M102" s="10">
        <f>I102/成本与现售价!$K$102-1</f>
        <v>0.624</v>
      </c>
    </row>
    <row r="103" spans="1:13">
      <c r="A103" s="4" t="s">
        <v>67</v>
      </c>
      <c r="B103" s="4" t="s">
        <v>58</v>
      </c>
      <c r="C103" s="4" t="s">
        <v>109</v>
      </c>
      <c r="D103" s="4" t="s">
        <v>59</v>
      </c>
      <c r="E103" s="4">
        <v>6</v>
      </c>
      <c r="F103" s="5">
        <v>0</v>
      </c>
      <c r="G103" s="6">
        <f>成本与现售价!$I$103</f>
        <v>3</v>
      </c>
      <c r="H103" s="7">
        <f>MIN(0.95,MAX(费率与参数!$B$6,费率与参数!$B$5-(费率与参数!$B$5-费率与参数!$B$6)*(LN(MAX(G103,0.01))-LN(MIN(成本与现售价!$I$4:$I$172)))/(LN(MAX(成本与现售价!$I$4:$I$172))-LN(MIN(成本与现售价!$I$4:$I$172)))))</f>
        <v>0.370550052980842</v>
      </c>
      <c r="I103" s="8">
        <f>CEILING(G103/(1-H103)/费率与参数!$B$2,费率与参数!$B$3)*费率与参数!$B$2</f>
        <v>4.77</v>
      </c>
      <c r="J103" s="5">
        <f>I103/费率与参数!$B$2</f>
        <v>477</v>
      </c>
      <c r="K103" s="9">
        <f t="shared" si="1"/>
        <v>0.371069182389937</v>
      </c>
      <c r="L103" s="5">
        <f>成本与现售价!$J$103</f>
        <v>300</v>
      </c>
      <c r="M103" s="10">
        <f>I103/成本与现售价!$K$103-1</f>
        <v>0.59</v>
      </c>
    </row>
    <row r="104" spans="1:13">
      <c r="A104" s="4" t="s">
        <v>67</v>
      </c>
      <c r="B104" s="4" t="s">
        <v>58</v>
      </c>
      <c r="C104" s="4" t="s">
        <v>109</v>
      </c>
      <c r="D104" s="4" t="s">
        <v>59</v>
      </c>
      <c r="E104" s="4">
        <v>7</v>
      </c>
      <c r="F104" s="5">
        <v>0</v>
      </c>
      <c r="G104" s="6">
        <f>成本与现售价!$I$104</f>
        <v>3.5</v>
      </c>
      <c r="H104" s="7">
        <f>MIN(0.95,MAX(费率与参数!$B$6,费率与参数!$B$5-(费率与参数!$B$5-费率与参数!$B$6)*(LN(MAX(G104,0.01))-LN(MIN(成本与现售价!$I$4:$I$172)))/(LN(MAX(成本与现售价!$I$4:$I$172))-LN(MIN(成本与现售价!$I$4:$I$172)))))</f>
        <v>0.359893982579554</v>
      </c>
      <c r="I104" s="8">
        <f>CEILING(G104/(1-H104)/费率与参数!$B$2,费率与参数!$B$3)*费率与参数!$B$2</f>
        <v>5.47</v>
      </c>
      <c r="J104" s="5">
        <f>I104/费率与参数!$B$2</f>
        <v>547</v>
      </c>
      <c r="K104" s="9">
        <f t="shared" si="1"/>
        <v>0.360146252285192</v>
      </c>
      <c r="L104" s="5">
        <f>成本与现售价!$J$104</f>
        <v>350</v>
      </c>
      <c r="M104" s="10">
        <f>I104/成本与现售价!$K$104-1</f>
        <v>0.562857142857143</v>
      </c>
    </row>
    <row r="105" spans="1:13">
      <c r="A105" s="4" t="s">
        <v>67</v>
      </c>
      <c r="B105" s="4" t="s">
        <v>58</v>
      </c>
      <c r="C105" s="4" t="s">
        <v>109</v>
      </c>
      <c r="D105" s="4" t="s">
        <v>59</v>
      </c>
      <c r="E105" s="4">
        <v>8</v>
      </c>
      <c r="F105" s="5">
        <v>0</v>
      </c>
      <c r="G105" s="6">
        <f>成本与现售价!$I$105</f>
        <v>4</v>
      </c>
      <c r="H105" s="7">
        <f>MIN(0.95,MAX(费率与参数!$B$6,费率与参数!$B$5-(费率与参数!$B$5-费率与参数!$B$6)*(LN(MAX(G105,0.01))-LN(MIN(成本与现售价!$I$4:$I$172)))/(LN(MAX(成本与现售价!$I$4:$I$172))-LN(MIN(成本与现售价!$I$4:$I$172)))))</f>
        <v>0.350663274533483</v>
      </c>
      <c r="I105" s="8">
        <f>CEILING(G105/(1-H105)/费率与参数!$B$2,费率与参数!$B$3)*费率与参数!$B$2</f>
        <v>6.17</v>
      </c>
      <c r="J105" s="5">
        <f>I105/费率与参数!$B$2</f>
        <v>617</v>
      </c>
      <c r="K105" s="9">
        <f t="shared" si="1"/>
        <v>0.351701782820097</v>
      </c>
      <c r="L105" s="5">
        <f>成本与现售价!$J$105</f>
        <v>400</v>
      </c>
      <c r="M105" s="10">
        <f>I105/成本与现售价!$K$105-1</f>
        <v>0.5425</v>
      </c>
    </row>
    <row r="106" spans="1:13">
      <c r="A106" s="4" t="s">
        <v>67</v>
      </c>
      <c r="B106" s="4" t="s">
        <v>58</v>
      </c>
      <c r="C106" s="4" t="s">
        <v>109</v>
      </c>
      <c r="D106" s="4" t="s">
        <v>59</v>
      </c>
      <c r="E106" s="4">
        <v>9</v>
      </c>
      <c r="F106" s="5">
        <v>0</v>
      </c>
      <c r="G106" s="6">
        <f>成本与现售价!$I$106</f>
        <v>4.5</v>
      </c>
      <c r="H106" s="7">
        <f>MIN(0.95,MAX(费率与参数!$B$6,费率与参数!$B$5-(费率与参数!$B$5-费率与参数!$B$6)*(LN(MAX(G106,0.01))-LN(MIN(成本与现售价!$I$4:$I$172)))/(LN(MAX(成本与现售价!$I$4:$I$172))-LN(MIN(成本与现售价!$I$4:$I$172)))))</f>
        <v>0.342521213003568</v>
      </c>
      <c r="I106" s="8">
        <f>CEILING(G106/(1-H106)/费率与参数!$B$2,费率与参数!$B$3)*费率与参数!$B$2</f>
        <v>6.85</v>
      </c>
      <c r="J106" s="5">
        <f>I106/费率与参数!$B$2</f>
        <v>685</v>
      </c>
      <c r="K106" s="9">
        <f t="shared" si="1"/>
        <v>0.343065693430657</v>
      </c>
      <c r="L106" s="5">
        <f>成本与现售价!$J$106</f>
        <v>450</v>
      </c>
      <c r="M106" s="10">
        <f>I106/成本与现售价!$K$106-1</f>
        <v>0.522222222222222</v>
      </c>
    </row>
    <row r="107" spans="1:13">
      <c r="A107" s="4" t="s">
        <v>67</v>
      </c>
      <c r="B107" s="4" t="s">
        <v>58</v>
      </c>
      <c r="C107" s="4" t="s">
        <v>109</v>
      </c>
      <c r="D107" s="4" t="s">
        <v>59</v>
      </c>
      <c r="E107" s="4">
        <v>10</v>
      </c>
      <c r="F107" s="5">
        <v>0</v>
      </c>
      <c r="G107" s="6">
        <f>成本与现售价!$I$107</f>
        <v>5</v>
      </c>
      <c r="H107" s="7">
        <f>MIN(0.95,MAX(费率与参数!$B$6,费率与参数!$B$5-(费率与参数!$B$5-费率与参数!$B$6)*(LN(MAX(G107,0.01))-LN(MIN(成本与现售价!$I$4:$I$172)))/(LN(MAX(成本与现售价!$I$4:$I$172))-LN(MIN(成本与现售价!$I$4:$I$172)))))</f>
        <v>0.335237890778691</v>
      </c>
      <c r="I107" s="8">
        <f>CEILING(G107/(1-H107)/费率与参数!$B$2,费率与参数!$B$3)*费率与参数!$B$2</f>
        <v>7.53</v>
      </c>
      <c r="J107" s="5">
        <f>I107/费率与参数!$B$2</f>
        <v>753</v>
      </c>
      <c r="K107" s="9">
        <f t="shared" si="1"/>
        <v>0.335989375830013</v>
      </c>
      <c r="L107" s="5">
        <f>成本与现售价!$J$107</f>
        <v>500</v>
      </c>
      <c r="M107" s="10">
        <f>I107/成本与现售价!$K$107-1</f>
        <v>0.506</v>
      </c>
    </row>
    <row r="108" spans="1:13">
      <c r="A108" s="4" t="s">
        <v>67</v>
      </c>
      <c r="B108" s="4" t="s">
        <v>58</v>
      </c>
      <c r="C108" s="4" t="s">
        <v>109</v>
      </c>
      <c r="D108" s="4" t="s">
        <v>59</v>
      </c>
      <c r="E108" s="4">
        <v>11</v>
      </c>
      <c r="F108" s="5">
        <v>0</v>
      </c>
      <c r="G108" s="6">
        <f>成本与现售价!$I$108</f>
        <v>5.5</v>
      </c>
      <c r="H108" s="7">
        <f>MIN(0.95,MAX(费率与参数!$B$6,费率与参数!$B$5-(费率与参数!$B$5-费率与参数!$B$6)*(LN(MAX(G108,0.01))-LN(MIN(成本与现售价!$I$4:$I$172)))/(LN(MAX(成本与现售价!$I$4:$I$172))-LN(MIN(成本与现售价!$I$4:$I$172)))))</f>
        <v>0.328649324402647</v>
      </c>
      <c r="I108" s="8">
        <f>CEILING(G108/(1-H108)/费率与参数!$B$2,费率与参数!$B$3)*费率与参数!$B$2</f>
        <v>8.2</v>
      </c>
      <c r="J108" s="5">
        <f>I108/费率与参数!$B$2</f>
        <v>820</v>
      </c>
      <c r="K108" s="9">
        <f t="shared" si="1"/>
        <v>0.329268292682927</v>
      </c>
      <c r="L108" s="5">
        <f>成本与现售价!$J$108</f>
        <v>550</v>
      </c>
      <c r="M108" s="10">
        <f>I108/成本与现售价!$K$108-1</f>
        <v>0.490909090909091</v>
      </c>
    </row>
    <row r="109" spans="1:13">
      <c r="A109" s="4" t="s">
        <v>67</v>
      </c>
      <c r="B109" s="4" t="s">
        <v>58</v>
      </c>
      <c r="C109" s="4" t="s">
        <v>109</v>
      </c>
      <c r="D109" s="4" t="s">
        <v>59</v>
      </c>
      <c r="E109" s="4">
        <v>12</v>
      </c>
      <c r="F109" s="5">
        <v>0</v>
      </c>
      <c r="G109" s="6">
        <f>成本与现售价!$I$109</f>
        <v>6</v>
      </c>
      <c r="H109" s="7">
        <f>MIN(0.95,MAX(费率与参数!$B$6,费率与参数!$B$5-(费率与参数!$B$5-费率与参数!$B$6)*(LN(MAX(G109,0.01))-LN(MIN(成本与现售价!$I$4:$I$172)))/(LN(MAX(成本与现售价!$I$4:$I$172))-LN(MIN(成本与现售价!$I$4:$I$172)))))</f>
        <v>0.322634434556209</v>
      </c>
      <c r="I109" s="8">
        <f>CEILING(G109/(1-H109)/费率与参数!$B$2,费率与参数!$B$3)*费率与参数!$B$2</f>
        <v>8.86</v>
      </c>
      <c r="J109" s="5">
        <f>I109/费率与参数!$B$2</f>
        <v>886</v>
      </c>
      <c r="K109" s="9">
        <f t="shared" si="1"/>
        <v>0.322799097065463</v>
      </c>
      <c r="L109" s="5">
        <f>成本与现售价!$J$109</f>
        <v>600</v>
      </c>
      <c r="M109" s="10">
        <f>I109/成本与现售价!$K$109-1</f>
        <v>0.476666666666667</v>
      </c>
    </row>
    <row r="110" spans="1:13">
      <c r="A110" s="4" t="s">
        <v>67</v>
      </c>
      <c r="B110" s="4" t="s">
        <v>58</v>
      </c>
      <c r="C110" s="4" t="s">
        <v>109</v>
      </c>
      <c r="D110" s="4" t="s">
        <v>59</v>
      </c>
      <c r="E110" s="4">
        <v>13</v>
      </c>
      <c r="F110" s="5">
        <v>0</v>
      </c>
      <c r="G110" s="6">
        <f>成本与现售价!$I$110</f>
        <v>6.5</v>
      </c>
      <c r="H110" s="7">
        <f>MIN(0.95,MAX(费率与参数!$B$6,费率与参数!$B$5-(费率与参数!$B$5-费率与参数!$B$6)*(LN(MAX(G110,0.01))-LN(MIN(成本与现售价!$I$4:$I$172)))/(LN(MAX(成本与现售价!$I$4:$I$172))-LN(MIN(成本与现售价!$I$4:$I$172)))))</f>
        <v>0.317101272269577</v>
      </c>
      <c r="I110" s="8">
        <f>CEILING(G110/(1-H110)/费率与参数!$B$2,费率与参数!$B$3)*费率与参数!$B$2</f>
        <v>9.52</v>
      </c>
      <c r="J110" s="5">
        <f>I110/费率与参数!$B$2</f>
        <v>952</v>
      </c>
      <c r="K110" s="9">
        <f t="shared" si="1"/>
        <v>0.317226890756303</v>
      </c>
      <c r="L110" s="5">
        <f>成本与现售价!$J$110</f>
        <v>650</v>
      </c>
      <c r="M110" s="10">
        <f>I110/成本与现售价!$K$110-1</f>
        <v>0.464615384615385</v>
      </c>
    </row>
    <row r="111" spans="1:13">
      <c r="A111" s="4" t="s">
        <v>67</v>
      </c>
      <c r="B111" s="4" t="s">
        <v>58</v>
      </c>
      <c r="C111" s="4" t="s">
        <v>109</v>
      </c>
      <c r="D111" s="4" t="s">
        <v>59</v>
      </c>
      <c r="E111" s="4">
        <v>14</v>
      </c>
      <c r="F111" s="5">
        <v>0</v>
      </c>
      <c r="G111" s="6">
        <f>成本与现售价!$I$111</f>
        <v>7</v>
      </c>
      <c r="H111" s="7">
        <f>MIN(0.95,MAX(费率与参数!$B$6,费率与参数!$B$5-(费率与参数!$B$5-费率与参数!$B$6)*(LN(MAX(G111,0.01))-LN(MIN(成本与现售价!$I$4:$I$172)))/(LN(MAX(成本与现售价!$I$4:$I$172))-LN(MIN(成本与现售价!$I$4:$I$172)))))</f>
        <v>0.311978364154922</v>
      </c>
      <c r="I111" s="8">
        <f>CEILING(G111/(1-H111)/费率与参数!$B$2,费率与参数!$B$3)*费率与参数!$B$2</f>
        <v>10.18</v>
      </c>
      <c r="J111" s="5">
        <f>I111/费率与参数!$B$2</f>
        <v>1018</v>
      </c>
      <c r="K111" s="9">
        <f t="shared" si="1"/>
        <v>0.31237721021611</v>
      </c>
      <c r="L111" s="5">
        <f>成本与现售价!$J$111</f>
        <v>700</v>
      </c>
      <c r="M111" s="10">
        <f>I111/成本与现售价!$K$111-1</f>
        <v>0.454285714285714</v>
      </c>
    </row>
    <row r="112" spans="1:13">
      <c r="A112" s="4" t="s">
        <v>67</v>
      </c>
      <c r="B112" s="4" t="s">
        <v>58</v>
      </c>
      <c r="C112" s="4" t="s">
        <v>109</v>
      </c>
      <c r="D112" s="4" t="s">
        <v>59</v>
      </c>
      <c r="E112" s="4">
        <v>15</v>
      </c>
      <c r="F112" s="5">
        <v>0</v>
      </c>
      <c r="G112" s="6">
        <f>成本与现售价!$I$112</f>
        <v>7.5</v>
      </c>
      <c r="H112" s="7">
        <f>MIN(0.95,MAX(费率与参数!$B$6,费率与参数!$B$5-(费率与参数!$B$5-费率与参数!$B$6)*(LN(MAX(G112,0.01))-LN(MIN(成本与现售价!$I$4:$I$172)))/(LN(MAX(成本与现售价!$I$4:$I$172))-LN(MIN(成本与现售价!$I$4:$I$172)))))</f>
        <v>0.307209050801417</v>
      </c>
      <c r="I112" s="8">
        <f>CEILING(G112/(1-H112)/费率与参数!$B$2,费率与参数!$B$3)*费率与参数!$B$2</f>
        <v>10.83</v>
      </c>
      <c r="J112" s="5">
        <f>I112/费率与参数!$B$2</f>
        <v>1083</v>
      </c>
      <c r="K112" s="9">
        <f t="shared" si="1"/>
        <v>0.307479224376731</v>
      </c>
      <c r="L112" s="5">
        <f>成本与现售价!$J$112</f>
        <v>750</v>
      </c>
      <c r="M112" s="10">
        <f>I112/成本与现售价!$K$112-1</f>
        <v>0.444</v>
      </c>
    </row>
    <row r="113" spans="1:13">
      <c r="A113" s="4" t="s">
        <v>79</v>
      </c>
      <c r="B113" s="4" t="s">
        <v>80</v>
      </c>
      <c r="C113" s="4" t="s">
        <v>110</v>
      </c>
      <c r="D113" s="4" t="s">
        <v>27</v>
      </c>
      <c r="E113" s="4">
        <v>5</v>
      </c>
      <c r="F113" s="5">
        <v>0</v>
      </c>
      <c r="G113" s="6">
        <f>成本与现售价!$I$113</f>
        <v>1.5</v>
      </c>
      <c r="H113" s="7">
        <f>MIN(0.95,MAX(费率与参数!$B$6,费率与参数!$B$5-(费率与参数!$B$5-费率与参数!$B$6)*(LN(MAX(G113,0.01))-LN(MIN(成本与现售价!$I$4:$I$172)))/(LN(MAX(成本与现售价!$I$4:$I$172))-LN(MIN(成本与现售价!$I$4:$I$172)))))</f>
        <v>0.418465671405474</v>
      </c>
      <c r="I113" s="8">
        <f>CEILING(G113/(1-H113)/费率与参数!$B$2,费率与参数!$B$3)*费率与参数!$B$2</f>
        <v>2.58</v>
      </c>
      <c r="J113" s="5">
        <f>I113/费率与参数!$B$2</f>
        <v>258</v>
      </c>
      <c r="K113" s="9">
        <f t="shared" si="1"/>
        <v>0.418604651162791</v>
      </c>
      <c r="L113" s="5">
        <f>成本与现售价!$J$113</f>
        <v>150</v>
      </c>
      <c r="M113" s="10">
        <f>I113/成本与现售价!$K$113-1</f>
        <v>0.72</v>
      </c>
    </row>
    <row r="114" spans="1:13">
      <c r="A114" s="4" t="s">
        <v>79</v>
      </c>
      <c r="B114" s="4" t="s">
        <v>80</v>
      </c>
      <c r="C114" s="4" t="s">
        <v>110</v>
      </c>
      <c r="D114" s="4" t="s">
        <v>27</v>
      </c>
      <c r="E114" s="4">
        <v>10</v>
      </c>
      <c r="F114" s="5">
        <v>0</v>
      </c>
      <c r="G114" s="6">
        <f>成本与现售价!$I$114</f>
        <v>3</v>
      </c>
      <c r="H114" s="7">
        <f>MIN(0.95,MAX(费率与参数!$B$6,费率与参数!$B$5-(费率与参数!$B$5-费率与参数!$B$6)*(LN(MAX(G114,0.01))-LN(MIN(成本与现售价!$I$4:$I$172)))/(LN(MAX(成本与现售价!$I$4:$I$172))-LN(MIN(成本与现售价!$I$4:$I$172)))))</f>
        <v>0.370550052980842</v>
      </c>
      <c r="I114" s="8">
        <f>CEILING(G114/(1-H114)/费率与参数!$B$2,费率与参数!$B$3)*费率与参数!$B$2</f>
        <v>4.77</v>
      </c>
      <c r="J114" s="5">
        <f>I114/费率与参数!$B$2</f>
        <v>477</v>
      </c>
      <c r="K114" s="9">
        <f t="shared" si="1"/>
        <v>0.371069182389937</v>
      </c>
      <c r="L114" s="5">
        <f>成本与现售价!$J$114</f>
        <v>300</v>
      </c>
      <c r="M114" s="10">
        <f>I114/成本与现售价!$K$114-1</f>
        <v>0.59</v>
      </c>
    </row>
    <row r="115" spans="1:13">
      <c r="A115" s="4" t="s">
        <v>79</v>
      </c>
      <c r="B115" s="4" t="s">
        <v>80</v>
      </c>
      <c r="C115" s="4" t="s">
        <v>110</v>
      </c>
      <c r="D115" s="4" t="s">
        <v>27</v>
      </c>
      <c r="E115" s="4">
        <v>15</v>
      </c>
      <c r="F115" s="5">
        <v>0</v>
      </c>
      <c r="G115" s="6">
        <f>成本与现售价!$I$115</f>
        <v>4.5</v>
      </c>
      <c r="H115" s="7">
        <f>MIN(0.95,MAX(费率与参数!$B$6,费率与参数!$B$5-(费率与参数!$B$5-费率与参数!$B$6)*(LN(MAX(G115,0.01))-LN(MIN(成本与现售价!$I$4:$I$172)))/(LN(MAX(成本与现售价!$I$4:$I$172))-LN(MIN(成本与现售价!$I$4:$I$172)))))</f>
        <v>0.342521213003568</v>
      </c>
      <c r="I115" s="8">
        <f>CEILING(G115/(1-H115)/费率与参数!$B$2,费率与参数!$B$3)*费率与参数!$B$2</f>
        <v>6.85</v>
      </c>
      <c r="J115" s="5">
        <f>I115/费率与参数!$B$2</f>
        <v>685</v>
      </c>
      <c r="K115" s="9">
        <f t="shared" si="1"/>
        <v>0.343065693430657</v>
      </c>
      <c r="L115" s="5">
        <f>成本与现售价!$J$115</f>
        <v>450</v>
      </c>
      <c r="M115" s="10">
        <f>I115/成本与现售价!$K$115-1</f>
        <v>0.522222222222222</v>
      </c>
    </row>
    <row r="116" spans="1:13">
      <c r="A116" s="4" t="s">
        <v>79</v>
      </c>
      <c r="B116" s="4" t="s">
        <v>80</v>
      </c>
      <c r="C116" s="4" t="s">
        <v>110</v>
      </c>
      <c r="D116" s="4" t="s">
        <v>27</v>
      </c>
      <c r="E116" s="4">
        <v>20</v>
      </c>
      <c r="F116" s="5">
        <v>0</v>
      </c>
      <c r="G116" s="6">
        <f>成本与现售价!$I$116</f>
        <v>6</v>
      </c>
      <c r="H116" s="7">
        <f>MIN(0.95,MAX(费率与参数!$B$6,费率与参数!$B$5-(费率与参数!$B$5-费率与参数!$B$6)*(LN(MAX(G116,0.01))-LN(MIN(成本与现售价!$I$4:$I$172)))/(LN(MAX(成本与现售价!$I$4:$I$172))-LN(MIN(成本与现售价!$I$4:$I$172)))))</f>
        <v>0.322634434556209</v>
      </c>
      <c r="I116" s="8">
        <f>CEILING(G116/(1-H116)/费率与参数!$B$2,费率与参数!$B$3)*费率与参数!$B$2</f>
        <v>8.86</v>
      </c>
      <c r="J116" s="5">
        <f>I116/费率与参数!$B$2</f>
        <v>886</v>
      </c>
      <c r="K116" s="9">
        <f t="shared" si="1"/>
        <v>0.322799097065463</v>
      </c>
      <c r="L116" s="5">
        <f>成本与现售价!$J$116</f>
        <v>600</v>
      </c>
      <c r="M116" s="10">
        <f>I116/成本与现售价!$K$116-1</f>
        <v>0.476666666666667</v>
      </c>
    </row>
    <row r="117" spans="1:13">
      <c r="A117" s="4" t="s">
        <v>79</v>
      </c>
      <c r="B117" s="4" t="s">
        <v>80</v>
      </c>
      <c r="C117" s="4" t="s">
        <v>110</v>
      </c>
      <c r="D117" s="4" t="s">
        <v>27</v>
      </c>
      <c r="E117" s="4">
        <v>30</v>
      </c>
      <c r="F117" s="5">
        <v>0</v>
      </c>
      <c r="G117" s="6">
        <f>成本与现售价!$I$117</f>
        <v>9</v>
      </c>
      <c r="H117" s="7">
        <f>MIN(0.95,MAX(费率与参数!$B$6,费率与参数!$B$5-(费率与参数!$B$5-费率与参数!$B$6)*(LN(MAX(G117,0.01))-LN(MIN(成本与现售价!$I$4:$I$172)))/(LN(MAX(成本与现售价!$I$4:$I$172))-LN(MIN(成本与现售价!$I$4:$I$172)))))</f>
        <v>0.294605594578936</v>
      </c>
      <c r="I117" s="8">
        <f>CEILING(G117/(1-H117)/费率与参数!$B$2,费率与参数!$B$3)*费率与参数!$B$2</f>
        <v>12.76</v>
      </c>
      <c r="J117" s="5">
        <f>I117/费率与参数!$B$2</f>
        <v>1276</v>
      </c>
      <c r="K117" s="9">
        <f t="shared" si="1"/>
        <v>0.294670846394984</v>
      </c>
      <c r="L117" s="5">
        <f>成本与现售价!$J$117</f>
        <v>900</v>
      </c>
      <c r="M117" s="10">
        <f>I117/成本与现售价!$K$117-1</f>
        <v>0.417777777777778</v>
      </c>
    </row>
    <row r="118" spans="1:13">
      <c r="A118" s="4" t="s">
        <v>79</v>
      </c>
      <c r="B118" s="4" t="s">
        <v>80</v>
      </c>
      <c r="C118" s="4" t="s">
        <v>110</v>
      </c>
      <c r="D118" s="4" t="s">
        <v>28</v>
      </c>
      <c r="E118" s="4">
        <v>5</v>
      </c>
      <c r="F118" s="5">
        <v>0</v>
      </c>
      <c r="G118" s="6">
        <f>成本与现售价!$I$118</f>
        <v>3</v>
      </c>
      <c r="H118" s="7">
        <f>MIN(0.95,MAX(费率与参数!$B$6,费率与参数!$B$5-(费率与参数!$B$5-费率与参数!$B$6)*(LN(MAX(G118,0.01))-LN(MIN(成本与现售价!$I$4:$I$172)))/(LN(MAX(成本与现售价!$I$4:$I$172))-LN(MIN(成本与现售价!$I$4:$I$172)))))</f>
        <v>0.370550052980842</v>
      </c>
      <c r="I118" s="8">
        <f>CEILING(G118/(1-H118)/费率与参数!$B$2,费率与参数!$B$3)*费率与参数!$B$2</f>
        <v>4.77</v>
      </c>
      <c r="J118" s="5">
        <f>I118/费率与参数!$B$2</f>
        <v>477</v>
      </c>
      <c r="K118" s="9">
        <f t="shared" si="1"/>
        <v>0.371069182389937</v>
      </c>
      <c r="L118" s="5">
        <f>成本与现售价!$J$118</f>
        <v>300</v>
      </c>
      <c r="M118" s="10">
        <f>I118/成本与现售价!$K$118-1</f>
        <v>0.59</v>
      </c>
    </row>
    <row r="119" spans="1:13">
      <c r="A119" s="4" t="s">
        <v>79</v>
      </c>
      <c r="B119" s="4" t="s">
        <v>80</v>
      </c>
      <c r="C119" s="4" t="s">
        <v>110</v>
      </c>
      <c r="D119" s="4" t="s">
        <v>28</v>
      </c>
      <c r="E119" s="4">
        <v>10</v>
      </c>
      <c r="F119" s="5">
        <v>0</v>
      </c>
      <c r="G119" s="6">
        <f>成本与现售价!$I$119</f>
        <v>6</v>
      </c>
      <c r="H119" s="7">
        <f>MIN(0.95,MAX(费率与参数!$B$6,费率与参数!$B$5-(费率与参数!$B$5-费率与参数!$B$6)*(LN(MAX(G119,0.01))-LN(MIN(成本与现售价!$I$4:$I$172)))/(LN(MAX(成本与现售价!$I$4:$I$172))-LN(MIN(成本与现售价!$I$4:$I$172)))))</f>
        <v>0.322634434556209</v>
      </c>
      <c r="I119" s="8">
        <f>CEILING(G119/(1-H119)/费率与参数!$B$2,费率与参数!$B$3)*费率与参数!$B$2</f>
        <v>8.86</v>
      </c>
      <c r="J119" s="5">
        <f>I119/费率与参数!$B$2</f>
        <v>886</v>
      </c>
      <c r="K119" s="9">
        <f t="shared" si="1"/>
        <v>0.322799097065463</v>
      </c>
      <c r="L119" s="5">
        <f>成本与现售价!$J$119</f>
        <v>600</v>
      </c>
      <c r="M119" s="10">
        <f>I119/成本与现售价!$K$119-1</f>
        <v>0.476666666666667</v>
      </c>
    </row>
    <row r="120" spans="1:13">
      <c r="A120" s="4" t="s">
        <v>79</v>
      </c>
      <c r="B120" s="4" t="s">
        <v>80</v>
      </c>
      <c r="C120" s="4" t="s">
        <v>110</v>
      </c>
      <c r="D120" s="4" t="s">
        <v>28</v>
      </c>
      <c r="E120" s="4">
        <v>15</v>
      </c>
      <c r="F120" s="5">
        <v>0</v>
      </c>
      <c r="G120" s="6">
        <f>成本与现售价!$I$120</f>
        <v>9</v>
      </c>
      <c r="H120" s="7">
        <f>MIN(0.95,MAX(费率与参数!$B$6,费率与参数!$B$5-(费率与参数!$B$5-费率与参数!$B$6)*(LN(MAX(G120,0.01))-LN(MIN(成本与现售价!$I$4:$I$172)))/(LN(MAX(成本与现售价!$I$4:$I$172))-LN(MIN(成本与现售价!$I$4:$I$172)))))</f>
        <v>0.294605594578936</v>
      </c>
      <c r="I120" s="8">
        <f>CEILING(G120/(1-H120)/费率与参数!$B$2,费率与参数!$B$3)*费率与参数!$B$2</f>
        <v>12.76</v>
      </c>
      <c r="J120" s="5">
        <f>I120/费率与参数!$B$2</f>
        <v>1276</v>
      </c>
      <c r="K120" s="9">
        <f t="shared" si="1"/>
        <v>0.294670846394984</v>
      </c>
      <c r="L120" s="5">
        <f>成本与现售价!$J$120</f>
        <v>900</v>
      </c>
      <c r="M120" s="10">
        <f>I120/成本与现售价!$K$120-1</f>
        <v>0.417777777777778</v>
      </c>
    </row>
    <row r="121" spans="1:13">
      <c r="A121" s="4" t="s">
        <v>79</v>
      </c>
      <c r="B121" s="4" t="s">
        <v>80</v>
      </c>
      <c r="C121" s="4" t="s">
        <v>110</v>
      </c>
      <c r="D121" s="4" t="s">
        <v>28</v>
      </c>
      <c r="E121" s="4">
        <v>20</v>
      </c>
      <c r="F121" s="5">
        <v>0</v>
      </c>
      <c r="G121" s="6">
        <f>成本与现售价!$I$121</f>
        <v>12</v>
      </c>
      <c r="H121" s="7">
        <f>MIN(0.95,MAX(费率与参数!$B$6,费率与参数!$B$5-(费率与参数!$B$5-费率与参数!$B$6)*(LN(MAX(G121,0.01))-LN(MIN(成本与现售价!$I$4:$I$172)))/(LN(MAX(成本与现售价!$I$4:$I$172))-LN(MIN(成本与现售价!$I$4:$I$172)))))</f>
        <v>0.274718816131577</v>
      </c>
      <c r="I121" s="8">
        <f>CEILING(G121/(1-H121)/费率与参数!$B$2,费率与参数!$B$3)*费率与参数!$B$2</f>
        <v>16.55</v>
      </c>
      <c r="J121" s="5">
        <f>I121/费率与参数!$B$2</f>
        <v>1655</v>
      </c>
      <c r="K121" s="9">
        <f t="shared" si="1"/>
        <v>0.274924471299094</v>
      </c>
      <c r="L121" s="5">
        <f>成本与现售价!$J$121</f>
        <v>1200</v>
      </c>
      <c r="M121" s="10">
        <f>I121/成本与现售价!$K$121-1</f>
        <v>0.379166666666667</v>
      </c>
    </row>
    <row r="122" spans="1:13">
      <c r="A122" s="4" t="s">
        <v>79</v>
      </c>
      <c r="B122" s="4" t="s">
        <v>80</v>
      </c>
      <c r="C122" s="4" t="s">
        <v>110</v>
      </c>
      <c r="D122" s="4" t="s">
        <v>28</v>
      </c>
      <c r="E122" s="4">
        <v>30</v>
      </c>
      <c r="F122" s="5">
        <v>0</v>
      </c>
      <c r="G122" s="6">
        <f>成本与现售价!$I$122</f>
        <v>18</v>
      </c>
      <c r="H122" s="7">
        <f>MIN(0.95,MAX(费率与参数!$B$6,费率与参数!$B$5-(费率与参数!$B$5-费率与参数!$B$6)*(LN(MAX(G122,0.01))-LN(MIN(成本与现售价!$I$4:$I$172)))/(LN(MAX(成本与现售价!$I$4:$I$172))-LN(MIN(成本与现售价!$I$4:$I$172)))))</f>
        <v>0.246689976154303</v>
      </c>
      <c r="I122" s="8">
        <f>CEILING(G122/(1-H122)/费率与参数!$B$2,费率与参数!$B$3)*费率与参数!$B$2</f>
        <v>23.9</v>
      </c>
      <c r="J122" s="5">
        <f>I122/费率与参数!$B$2</f>
        <v>2390</v>
      </c>
      <c r="K122" s="9">
        <f t="shared" si="1"/>
        <v>0.246861924686193</v>
      </c>
      <c r="L122" s="5">
        <f>成本与现售价!$J$122</f>
        <v>1800</v>
      </c>
      <c r="M122" s="10">
        <f>I122/成本与现售价!$K$122-1</f>
        <v>0.327777777777778</v>
      </c>
    </row>
    <row r="123" spans="1:13">
      <c r="A123" s="4" t="s">
        <v>79</v>
      </c>
      <c r="B123" s="4" t="s">
        <v>80</v>
      </c>
      <c r="C123" s="4" t="s">
        <v>110</v>
      </c>
      <c r="D123" s="4" t="s">
        <v>29</v>
      </c>
      <c r="E123" s="4">
        <v>5</v>
      </c>
      <c r="F123" s="5">
        <v>0</v>
      </c>
      <c r="G123" s="6">
        <f>成本与现售价!$I$123</f>
        <v>6</v>
      </c>
      <c r="H123" s="7">
        <f>MIN(0.95,MAX(费率与参数!$B$6,费率与参数!$B$5-(费率与参数!$B$5-费率与参数!$B$6)*(LN(MAX(G123,0.01))-LN(MIN(成本与现售价!$I$4:$I$172)))/(LN(MAX(成本与现售价!$I$4:$I$172))-LN(MIN(成本与现售价!$I$4:$I$172)))))</f>
        <v>0.322634434556209</v>
      </c>
      <c r="I123" s="8">
        <f>CEILING(G123/(1-H123)/费率与参数!$B$2,费率与参数!$B$3)*费率与参数!$B$2</f>
        <v>8.86</v>
      </c>
      <c r="J123" s="5">
        <f>I123/费率与参数!$B$2</f>
        <v>886</v>
      </c>
      <c r="K123" s="9">
        <f t="shared" si="1"/>
        <v>0.322799097065463</v>
      </c>
      <c r="L123" s="5">
        <f>成本与现售价!$J$123</f>
        <v>600</v>
      </c>
      <c r="M123" s="10">
        <f>I123/成本与现售价!$K$123-1</f>
        <v>0.476666666666667</v>
      </c>
    </row>
    <row r="124" spans="1:13">
      <c r="A124" s="4" t="s">
        <v>79</v>
      </c>
      <c r="B124" s="4" t="s">
        <v>80</v>
      </c>
      <c r="C124" s="4" t="s">
        <v>110</v>
      </c>
      <c r="D124" s="4" t="s">
        <v>29</v>
      </c>
      <c r="E124" s="4">
        <v>10</v>
      </c>
      <c r="F124" s="5">
        <v>0</v>
      </c>
      <c r="G124" s="6">
        <f>成本与现售价!$I$124</f>
        <v>12</v>
      </c>
      <c r="H124" s="7">
        <f>MIN(0.95,MAX(费率与参数!$B$6,费率与参数!$B$5-(费率与参数!$B$5-费率与参数!$B$6)*(LN(MAX(G124,0.01))-LN(MIN(成本与现售价!$I$4:$I$172)))/(LN(MAX(成本与现售价!$I$4:$I$172))-LN(MIN(成本与现售价!$I$4:$I$172)))))</f>
        <v>0.274718816131577</v>
      </c>
      <c r="I124" s="8">
        <f>CEILING(G124/(1-H124)/费率与参数!$B$2,费率与参数!$B$3)*费率与参数!$B$2</f>
        <v>16.55</v>
      </c>
      <c r="J124" s="5">
        <f>I124/费率与参数!$B$2</f>
        <v>1655</v>
      </c>
      <c r="K124" s="9">
        <f t="shared" si="1"/>
        <v>0.274924471299094</v>
      </c>
      <c r="L124" s="5">
        <f>成本与现售价!$J$124</f>
        <v>1200</v>
      </c>
      <c r="M124" s="10">
        <f>I124/成本与现售价!$K$124-1</f>
        <v>0.379166666666667</v>
      </c>
    </row>
    <row r="125" spans="1:13">
      <c r="A125" s="4" t="s">
        <v>79</v>
      </c>
      <c r="B125" s="4" t="s">
        <v>80</v>
      </c>
      <c r="C125" s="4" t="s">
        <v>110</v>
      </c>
      <c r="D125" s="4" t="s">
        <v>29</v>
      </c>
      <c r="E125" s="4">
        <v>15</v>
      </c>
      <c r="F125" s="5">
        <v>0</v>
      </c>
      <c r="G125" s="6">
        <f>成本与现售价!$I$125</f>
        <v>18</v>
      </c>
      <c r="H125" s="7">
        <f>MIN(0.95,MAX(费率与参数!$B$6,费率与参数!$B$5-(费率与参数!$B$5-费率与参数!$B$6)*(LN(MAX(G125,0.01))-LN(MIN(成本与现售价!$I$4:$I$172)))/(LN(MAX(成本与现售价!$I$4:$I$172))-LN(MIN(成本与现售价!$I$4:$I$172)))))</f>
        <v>0.246689976154303</v>
      </c>
      <c r="I125" s="8">
        <f>CEILING(G125/(1-H125)/费率与参数!$B$2,费率与参数!$B$3)*费率与参数!$B$2</f>
        <v>23.9</v>
      </c>
      <c r="J125" s="5">
        <f>I125/费率与参数!$B$2</f>
        <v>2390</v>
      </c>
      <c r="K125" s="9">
        <f t="shared" si="1"/>
        <v>0.246861924686193</v>
      </c>
      <c r="L125" s="5">
        <f>成本与现售价!$J$125</f>
        <v>1800</v>
      </c>
      <c r="M125" s="10">
        <f>I125/成本与现售价!$K$125-1</f>
        <v>0.327777777777778</v>
      </c>
    </row>
    <row r="126" spans="1:13">
      <c r="A126" s="4" t="s">
        <v>79</v>
      </c>
      <c r="B126" s="4" t="s">
        <v>80</v>
      </c>
      <c r="C126" s="4" t="s">
        <v>110</v>
      </c>
      <c r="D126" s="4" t="s">
        <v>29</v>
      </c>
      <c r="E126" s="4">
        <v>20</v>
      </c>
      <c r="F126" s="5">
        <v>0</v>
      </c>
      <c r="G126" s="6">
        <f>成本与现售价!$I$126</f>
        <v>24</v>
      </c>
      <c r="H126" s="7">
        <f>MIN(0.95,MAX(费率与参数!$B$6,费率与参数!$B$5-(费率与参数!$B$5-费率与参数!$B$6)*(LN(MAX(G126,0.01))-LN(MIN(成本与现售价!$I$4:$I$172)))/(LN(MAX(成本与现售价!$I$4:$I$172))-LN(MIN(成本与现售价!$I$4:$I$172)))))</f>
        <v>0.226803197706944</v>
      </c>
      <c r="I126" s="8">
        <f>CEILING(G126/(1-H126)/费率与参数!$B$2,费率与参数!$B$3)*费率与参数!$B$2</f>
        <v>31.04</v>
      </c>
      <c r="J126" s="5">
        <f>I126/费率与参数!$B$2</f>
        <v>3104</v>
      </c>
      <c r="K126" s="9">
        <f t="shared" si="1"/>
        <v>0.22680412371134</v>
      </c>
      <c r="L126" s="5">
        <f>成本与现售价!$J$126</f>
        <v>2400</v>
      </c>
      <c r="M126" s="10">
        <f>I126/成本与现售价!$K$126-1</f>
        <v>0.293333333333333</v>
      </c>
    </row>
    <row r="127" spans="1:13">
      <c r="A127" s="4" t="s">
        <v>79</v>
      </c>
      <c r="B127" s="4" t="s">
        <v>80</v>
      </c>
      <c r="C127" s="4" t="s">
        <v>110</v>
      </c>
      <c r="D127" s="4" t="s">
        <v>29</v>
      </c>
      <c r="E127" s="4">
        <v>30</v>
      </c>
      <c r="F127" s="5">
        <v>0</v>
      </c>
      <c r="G127" s="6">
        <f>成本与现售价!$I$127</f>
        <v>36</v>
      </c>
      <c r="H127" s="7">
        <f>MIN(0.95,MAX(费率与参数!$B$6,费率与参数!$B$5-(费率与参数!$B$5-费率与参数!$B$6)*(LN(MAX(G127,0.01))-LN(MIN(成本与现售价!$I$4:$I$172)))/(LN(MAX(成本与现售价!$I$4:$I$172))-LN(MIN(成本与现售价!$I$4:$I$172)))))</f>
        <v>0.198774357729671</v>
      </c>
      <c r="I127" s="8">
        <f>CEILING(G127/(1-H127)/费率与参数!$B$2,费率与参数!$B$3)*费率与参数!$B$2</f>
        <v>44.94</v>
      </c>
      <c r="J127" s="5">
        <f>I127/费率与参数!$B$2</f>
        <v>4494</v>
      </c>
      <c r="K127" s="9">
        <f t="shared" si="1"/>
        <v>0.198931909212283</v>
      </c>
      <c r="L127" s="5">
        <f>成本与现售价!$J$127</f>
        <v>3600</v>
      </c>
      <c r="M127" s="10">
        <f>I127/成本与现售价!$K$127-1</f>
        <v>0.248333333333333</v>
      </c>
    </row>
    <row r="128" spans="1:13">
      <c r="A128" s="4" t="s">
        <v>79</v>
      </c>
      <c r="B128" s="4" t="s">
        <v>87</v>
      </c>
      <c r="C128" s="4" t="s">
        <v>110</v>
      </c>
      <c r="D128" s="4" t="s">
        <v>27</v>
      </c>
      <c r="E128" s="4">
        <v>5</v>
      </c>
      <c r="F128" s="5">
        <v>0</v>
      </c>
      <c r="G128" s="6">
        <f>成本与现售价!$I$128</f>
        <v>1.87355</v>
      </c>
      <c r="H128" s="7">
        <f>MIN(0.95,MAX(费率与参数!$B$6,费率与参数!$B$5-(费率与参数!$B$5-费率与参数!$B$6)*(LN(MAX(G128,0.01))-LN(MIN(成本与现售价!$I$4:$I$172)))/(LN(MAX(成本与现售价!$I$4:$I$172))-LN(MIN(成本与现售价!$I$4:$I$172)))))</f>
        <v>0.403093767028772</v>
      </c>
      <c r="I128" s="8">
        <f>CEILING(G128/(1-H128)/费率与参数!$B$2,费率与参数!$B$3)*费率与参数!$B$2</f>
        <v>3.14</v>
      </c>
      <c r="J128" s="5">
        <f>I128/费率与参数!$B$2</f>
        <v>314</v>
      </c>
      <c r="K128" s="9">
        <f t="shared" si="1"/>
        <v>0.403328025477707</v>
      </c>
      <c r="L128" s="5">
        <f>成本与现售价!$J$128</f>
        <v>188</v>
      </c>
      <c r="M128" s="10">
        <f>I128/成本与现售价!$K$128-1</f>
        <v>0.670212765957447</v>
      </c>
    </row>
    <row r="129" spans="1:13">
      <c r="A129" s="4" t="s">
        <v>79</v>
      </c>
      <c r="B129" s="4" t="s">
        <v>87</v>
      </c>
      <c r="C129" s="4" t="s">
        <v>110</v>
      </c>
      <c r="D129" s="4" t="s">
        <v>27</v>
      </c>
      <c r="E129" s="4">
        <v>10</v>
      </c>
      <c r="F129" s="5">
        <v>0</v>
      </c>
      <c r="G129" s="6">
        <f>成本与现售价!$I$129</f>
        <v>3.7471</v>
      </c>
      <c r="H129" s="7">
        <f>MIN(0.95,MAX(费率与参数!$B$6,费率与参数!$B$5-(费率与参数!$B$5-费率与参数!$B$6)*(LN(MAX(G129,0.01))-LN(MIN(成本与现售价!$I$4:$I$172)))/(LN(MAX(成本与现售价!$I$4:$I$172))-LN(MIN(成本与现售价!$I$4:$I$172)))))</f>
        <v>0.355178148604139</v>
      </c>
      <c r="I129" s="8">
        <f>CEILING(G129/(1-H129)/费率与参数!$B$2,费率与参数!$B$3)*费率与参数!$B$2</f>
        <v>5.82</v>
      </c>
      <c r="J129" s="5">
        <f>I129/费率与参数!$B$2</f>
        <v>582</v>
      </c>
      <c r="K129" s="9">
        <f t="shared" si="1"/>
        <v>0.356168384879725</v>
      </c>
      <c r="L129" s="5">
        <f>成本与现售价!$J$129</f>
        <v>375</v>
      </c>
      <c r="M129" s="10">
        <f>I129/成本与现售价!$K$129-1</f>
        <v>0.552</v>
      </c>
    </row>
    <row r="130" spans="1:13">
      <c r="A130" s="4" t="s">
        <v>79</v>
      </c>
      <c r="B130" s="4" t="s">
        <v>87</v>
      </c>
      <c r="C130" s="4" t="s">
        <v>110</v>
      </c>
      <c r="D130" s="4" t="s">
        <v>27</v>
      </c>
      <c r="E130" s="4">
        <v>15</v>
      </c>
      <c r="F130" s="5">
        <v>0</v>
      </c>
      <c r="G130" s="6">
        <f>成本与现售价!$I$130</f>
        <v>5.62065</v>
      </c>
      <c r="H130" s="7">
        <f>MIN(0.95,MAX(费率与参数!$B$6,费率与参数!$B$5-(费率与参数!$B$5-费率与参数!$B$6)*(LN(MAX(G130,0.01))-LN(MIN(成本与现售价!$I$4:$I$172)))/(LN(MAX(成本与现售价!$I$4:$I$172))-LN(MIN(成本与现售价!$I$4:$I$172)))))</f>
        <v>0.327149308626866</v>
      </c>
      <c r="I130" s="8">
        <f>CEILING(G130/(1-H130)/费率与参数!$B$2,费率与参数!$B$3)*费率与参数!$B$2</f>
        <v>8.36</v>
      </c>
      <c r="J130" s="5">
        <f>I130/费率与参数!$B$2</f>
        <v>836</v>
      </c>
      <c r="K130" s="9">
        <f t="shared" si="1"/>
        <v>0.327673444976077</v>
      </c>
      <c r="L130" s="5">
        <f>成本与现售价!$J$130</f>
        <v>563</v>
      </c>
      <c r="M130" s="10">
        <f>I130/成本与现售价!$K$130-1</f>
        <v>0.484902309058614</v>
      </c>
    </row>
    <row r="131" spans="1:13">
      <c r="A131" s="4" t="s">
        <v>79</v>
      </c>
      <c r="B131" s="4" t="s">
        <v>87</v>
      </c>
      <c r="C131" s="4" t="s">
        <v>110</v>
      </c>
      <c r="D131" s="4" t="s">
        <v>27</v>
      </c>
      <c r="E131" s="4">
        <v>20</v>
      </c>
      <c r="F131" s="5">
        <v>0</v>
      </c>
      <c r="G131" s="6">
        <f>成本与现售价!$I$131</f>
        <v>7.4942</v>
      </c>
      <c r="H131" s="7">
        <f>MIN(0.95,MAX(费率与参数!$B$6,费率与参数!$B$5-(费率与参数!$B$5-费率与参数!$B$6)*(LN(MAX(G131,0.01))-LN(MIN(成本与现售价!$I$4:$I$172)))/(LN(MAX(成本与现售价!$I$4:$I$172))-LN(MIN(成本与现售价!$I$4:$I$172)))))</f>
        <v>0.307262530179507</v>
      </c>
      <c r="I131" s="8">
        <f>CEILING(G131/(1-H131)/费率与参数!$B$2,费率与参数!$B$3)*费率与参数!$B$2</f>
        <v>10.82</v>
      </c>
      <c r="J131" s="5">
        <f>I131/费率与参数!$B$2</f>
        <v>1082</v>
      </c>
      <c r="K131" s="9">
        <f t="shared" si="1"/>
        <v>0.307375231053605</v>
      </c>
      <c r="L131" s="5">
        <f>成本与现售价!$J$131</f>
        <v>750</v>
      </c>
      <c r="M131" s="10">
        <f>I131/成本与现售价!$K$131-1</f>
        <v>0.442666666666667</v>
      </c>
    </row>
    <row r="132" spans="1:13">
      <c r="A132" s="4" t="s">
        <v>79</v>
      </c>
      <c r="B132" s="4" t="s">
        <v>87</v>
      </c>
      <c r="C132" s="4" t="s">
        <v>110</v>
      </c>
      <c r="D132" s="4" t="s">
        <v>27</v>
      </c>
      <c r="E132" s="4">
        <v>30</v>
      </c>
      <c r="F132" s="5">
        <v>0</v>
      </c>
      <c r="G132" s="6">
        <f>成本与现售价!$I$132</f>
        <v>11.2413</v>
      </c>
      <c r="H132" s="7">
        <f>MIN(0.95,MAX(费率与参数!$B$6,费率与参数!$B$5-(费率与参数!$B$5-费率与参数!$B$6)*(LN(MAX(G132,0.01))-LN(MIN(成本与现售价!$I$4:$I$172)))/(LN(MAX(成本与现售价!$I$4:$I$172))-LN(MIN(成本与现售价!$I$4:$I$172)))))</f>
        <v>0.279233690202233</v>
      </c>
      <c r="I132" s="8">
        <f>CEILING(G132/(1-H132)/费率与参数!$B$2,费率与参数!$B$3)*费率与参数!$B$2</f>
        <v>15.6</v>
      </c>
      <c r="J132" s="5">
        <f>I132/费率与参数!$B$2</f>
        <v>1560</v>
      </c>
      <c r="K132" s="9">
        <f t="shared" ref="K132:K172" si="2">1-G132/I132</f>
        <v>0.279403846153846</v>
      </c>
      <c r="L132" s="5">
        <f>成本与现售价!$J$132</f>
        <v>1125</v>
      </c>
      <c r="M132" s="10">
        <f>I132/成本与现售价!$K$132-1</f>
        <v>0.386666666666667</v>
      </c>
    </row>
    <row r="133" spans="1:13">
      <c r="A133" s="4" t="s">
        <v>79</v>
      </c>
      <c r="B133" s="4" t="s">
        <v>87</v>
      </c>
      <c r="C133" s="4" t="s">
        <v>110</v>
      </c>
      <c r="D133" s="4" t="s">
        <v>28</v>
      </c>
      <c r="E133" s="4">
        <v>5</v>
      </c>
      <c r="F133" s="5">
        <v>0</v>
      </c>
      <c r="G133" s="6">
        <f>成本与现售价!$I$133</f>
        <v>3.7471</v>
      </c>
      <c r="H133" s="7">
        <f>MIN(0.95,MAX(费率与参数!$B$6,费率与参数!$B$5-(费率与参数!$B$5-费率与参数!$B$6)*(LN(MAX(G133,0.01))-LN(MIN(成本与现售价!$I$4:$I$172)))/(LN(MAX(成本与现售价!$I$4:$I$172))-LN(MIN(成本与现售价!$I$4:$I$172)))))</f>
        <v>0.355178148604139</v>
      </c>
      <c r="I133" s="8">
        <f>CEILING(G133/(1-H133)/费率与参数!$B$2,费率与参数!$B$3)*费率与参数!$B$2</f>
        <v>5.82</v>
      </c>
      <c r="J133" s="5">
        <f>I133/费率与参数!$B$2</f>
        <v>582</v>
      </c>
      <c r="K133" s="9">
        <f t="shared" si="2"/>
        <v>0.356168384879725</v>
      </c>
      <c r="L133" s="5">
        <f>成本与现售价!$J$133</f>
        <v>375</v>
      </c>
      <c r="M133" s="10">
        <f>I133/成本与现售价!$K$133-1</f>
        <v>0.552</v>
      </c>
    </row>
    <row r="134" spans="1:13">
      <c r="A134" s="4" t="s">
        <v>79</v>
      </c>
      <c r="B134" s="4" t="s">
        <v>87</v>
      </c>
      <c r="C134" s="4" t="s">
        <v>110</v>
      </c>
      <c r="D134" s="4" t="s">
        <v>28</v>
      </c>
      <c r="E134" s="4">
        <v>10</v>
      </c>
      <c r="F134" s="5">
        <v>0</v>
      </c>
      <c r="G134" s="6">
        <f>成本与现售价!$I$134</f>
        <v>7.4942</v>
      </c>
      <c r="H134" s="7">
        <f>MIN(0.95,MAX(费率与参数!$B$6,费率与参数!$B$5-(费率与参数!$B$5-费率与参数!$B$6)*(LN(MAX(G134,0.01))-LN(MIN(成本与现售价!$I$4:$I$172)))/(LN(MAX(成本与现售价!$I$4:$I$172))-LN(MIN(成本与现售价!$I$4:$I$172)))))</f>
        <v>0.307262530179507</v>
      </c>
      <c r="I134" s="8">
        <f>CEILING(G134/(1-H134)/费率与参数!$B$2,费率与参数!$B$3)*费率与参数!$B$2</f>
        <v>10.82</v>
      </c>
      <c r="J134" s="5">
        <f>I134/费率与参数!$B$2</f>
        <v>1082</v>
      </c>
      <c r="K134" s="9">
        <f t="shared" si="2"/>
        <v>0.307375231053605</v>
      </c>
      <c r="L134" s="5">
        <f>成本与现售价!$J$134</f>
        <v>750</v>
      </c>
      <c r="M134" s="10">
        <f>I134/成本与现售价!$K$134-1</f>
        <v>0.442666666666667</v>
      </c>
    </row>
    <row r="135" spans="1:13">
      <c r="A135" s="4" t="s">
        <v>79</v>
      </c>
      <c r="B135" s="4" t="s">
        <v>87</v>
      </c>
      <c r="C135" s="4" t="s">
        <v>110</v>
      </c>
      <c r="D135" s="4" t="s">
        <v>28</v>
      </c>
      <c r="E135" s="4">
        <v>15</v>
      </c>
      <c r="F135" s="5">
        <v>0</v>
      </c>
      <c r="G135" s="6">
        <f>成本与现售价!$I$135</f>
        <v>11.2413</v>
      </c>
      <c r="H135" s="7">
        <f>MIN(0.95,MAX(费率与参数!$B$6,费率与参数!$B$5-(费率与参数!$B$5-费率与参数!$B$6)*(LN(MAX(G135,0.01))-LN(MIN(成本与现售价!$I$4:$I$172)))/(LN(MAX(成本与现售价!$I$4:$I$172))-LN(MIN(成本与现售价!$I$4:$I$172)))))</f>
        <v>0.279233690202233</v>
      </c>
      <c r="I135" s="8">
        <f>CEILING(G135/(1-H135)/费率与参数!$B$2,费率与参数!$B$3)*费率与参数!$B$2</f>
        <v>15.6</v>
      </c>
      <c r="J135" s="5">
        <f>I135/费率与参数!$B$2</f>
        <v>1560</v>
      </c>
      <c r="K135" s="9">
        <f t="shared" si="2"/>
        <v>0.279403846153846</v>
      </c>
      <c r="L135" s="5">
        <f>成本与现售价!$J$135</f>
        <v>1125</v>
      </c>
      <c r="M135" s="10">
        <f>I135/成本与现售价!$K$135-1</f>
        <v>0.386666666666667</v>
      </c>
    </row>
    <row r="136" spans="1:13">
      <c r="A136" s="4" t="s">
        <v>79</v>
      </c>
      <c r="B136" s="4" t="s">
        <v>87</v>
      </c>
      <c r="C136" s="4" t="s">
        <v>110</v>
      </c>
      <c r="D136" s="4" t="s">
        <v>28</v>
      </c>
      <c r="E136" s="4">
        <v>20</v>
      </c>
      <c r="F136" s="5">
        <v>0</v>
      </c>
      <c r="G136" s="6">
        <f>成本与现售价!$I$136</f>
        <v>14.9884</v>
      </c>
      <c r="H136" s="7">
        <f>MIN(0.95,MAX(费率与参数!$B$6,费率与参数!$B$5-(费率与参数!$B$5-费率与参数!$B$6)*(LN(MAX(G136,0.01))-LN(MIN(成本与现售价!$I$4:$I$172)))/(LN(MAX(成本与现售价!$I$4:$I$172))-LN(MIN(成本与现售价!$I$4:$I$172)))))</f>
        <v>0.259346911754875</v>
      </c>
      <c r="I136" s="8">
        <f>CEILING(G136/(1-H136)/费率与参数!$B$2,费率与参数!$B$3)*费率与参数!$B$2</f>
        <v>20.24</v>
      </c>
      <c r="J136" s="5">
        <f>I136/费率与参数!$B$2</f>
        <v>2024</v>
      </c>
      <c r="K136" s="9">
        <f t="shared" si="2"/>
        <v>0.259466403162055</v>
      </c>
      <c r="L136" s="5">
        <f>成本与现售价!$J$136</f>
        <v>1499</v>
      </c>
      <c r="M136" s="10">
        <f>I136/成本与现售价!$K$136-1</f>
        <v>0.350233488992662</v>
      </c>
    </row>
    <row r="137" spans="1:13">
      <c r="A137" s="4" t="s">
        <v>79</v>
      </c>
      <c r="B137" s="4" t="s">
        <v>87</v>
      </c>
      <c r="C137" s="4" t="s">
        <v>110</v>
      </c>
      <c r="D137" s="4" t="s">
        <v>28</v>
      </c>
      <c r="E137" s="4">
        <v>30</v>
      </c>
      <c r="F137" s="5">
        <v>0</v>
      </c>
      <c r="G137" s="6">
        <f>成本与现售价!$I$137</f>
        <v>22.4826</v>
      </c>
      <c r="H137" s="7">
        <f>MIN(0.95,MAX(费率与参数!$B$6,费率与参数!$B$5-(费率与参数!$B$5-费率与参数!$B$6)*(LN(MAX(G137,0.01))-LN(MIN(成本与现售价!$I$4:$I$172)))/(LN(MAX(成本与现售价!$I$4:$I$172))-LN(MIN(成本与现售价!$I$4:$I$172)))))</f>
        <v>0.231318071777601</v>
      </c>
      <c r="I137" s="8">
        <f>CEILING(G137/(1-H137)/费率与参数!$B$2,费率与参数!$B$3)*费率与参数!$B$2</f>
        <v>29.25</v>
      </c>
      <c r="J137" s="5">
        <f>I137/费率与参数!$B$2</f>
        <v>2925</v>
      </c>
      <c r="K137" s="9">
        <f t="shared" si="2"/>
        <v>0.231364102564103</v>
      </c>
      <c r="L137" s="5">
        <f>成本与现售价!$J$137</f>
        <v>2249</v>
      </c>
      <c r="M137" s="10">
        <f>I137/成本与现售价!$K$137-1</f>
        <v>0.300578034682081</v>
      </c>
    </row>
    <row r="138" spans="1:13">
      <c r="A138" s="4" t="s">
        <v>79</v>
      </c>
      <c r="B138" s="4" t="s">
        <v>87</v>
      </c>
      <c r="C138" s="4" t="s">
        <v>110</v>
      </c>
      <c r="D138" s="4" t="s">
        <v>29</v>
      </c>
      <c r="E138" s="4">
        <v>5</v>
      </c>
      <c r="F138" s="5">
        <v>0</v>
      </c>
      <c r="G138" s="6">
        <f>成本与现售价!$I$138</f>
        <v>7.4942</v>
      </c>
      <c r="H138" s="7">
        <f>MIN(0.95,MAX(费率与参数!$B$6,费率与参数!$B$5-(费率与参数!$B$5-费率与参数!$B$6)*(LN(MAX(G138,0.01))-LN(MIN(成本与现售价!$I$4:$I$172)))/(LN(MAX(成本与现售价!$I$4:$I$172))-LN(MIN(成本与现售价!$I$4:$I$172)))))</f>
        <v>0.307262530179507</v>
      </c>
      <c r="I138" s="8">
        <f>CEILING(G138/(1-H138)/费率与参数!$B$2,费率与参数!$B$3)*费率与参数!$B$2</f>
        <v>10.82</v>
      </c>
      <c r="J138" s="5">
        <f>I138/费率与参数!$B$2</f>
        <v>1082</v>
      </c>
      <c r="K138" s="9">
        <f t="shared" si="2"/>
        <v>0.307375231053605</v>
      </c>
      <c r="L138" s="5">
        <f>成本与现售价!$J$138</f>
        <v>750</v>
      </c>
      <c r="M138" s="10">
        <f>I138/成本与现售价!$K$138-1</f>
        <v>0.442666666666667</v>
      </c>
    </row>
    <row r="139" spans="1:13">
      <c r="A139" s="4" t="s">
        <v>79</v>
      </c>
      <c r="B139" s="4" t="s">
        <v>87</v>
      </c>
      <c r="C139" s="4" t="s">
        <v>110</v>
      </c>
      <c r="D139" s="4" t="s">
        <v>29</v>
      </c>
      <c r="E139" s="4">
        <v>10</v>
      </c>
      <c r="F139" s="5">
        <v>0</v>
      </c>
      <c r="G139" s="6">
        <f>成本与现售价!$I$139</f>
        <v>14.9884</v>
      </c>
      <c r="H139" s="7">
        <f>MIN(0.95,MAX(费率与参数!$B$6,费率与参数!$B$5-(费率与参数!$B$5-费率与参数!$B$6)*(LN(MAX(G139,0.01))-LN(MIN(成本与现售价!$I$4:$I$172)))/(LN(MAX(成本与现售价!$I$4:$I$172))-LN(MIN(成本与现售价!$I$4:$I$172)))))</f>
        <v>0.259346911754875</v>
      </c>
      <c r="I139" s="8">
        <f>CEILING(G139/(1-H139)/费率与参数!$B$2,费率与参数!$B$3)*费率与参数!$B$2</f>
        <v>20.24</v>
      </c>
      <c r="J139" s="5">
        <f>I139/费率与参数!$B$2</f>
        <v>2024</v>
      </c>
      <c r="K139" s="9">
        <f t="shared" si="2"/>
        <v>0.259466403162055</v>
      </c>
      <c r="L139" s="5">
        <f>成本与现售价!$J$139</f>
        <v>1499</v>
      </c>
      <c r="M139" s="10">
        <f>I139/成本与现售价!$K$139-1</f>
        <v>0.350233488992662</v>
      </c>
    </row>
    <row r="140" spans="1:13">
      <c r="A140" s="4" t="s">
        <v>79</v>
      </c>
      <c r="B140" s="4" t="s">
        <v>87</v>
      </c>
      <c r="C140" s="4" t="s">
        <v>110</v>
      </c>
      <c r="D140" s="4" t="s">
        <v>29</v>
      </c>
      <c r="E140" s="4">
        <v>15</v>
      </c>
      <c r="F140" s="5">
        <v>0</v>
      </c>
      <c r="G140" s="6">
        <f>成本与现售价!$I$140</f>
        <v>22.4826</v>
      </c>
      <c r="H140" s="7">
        <f>MIN(0.95,MAX(费率与参数!$B$6,费率与参数!$B$5-(费率与参数!$B$5-费率与参数!$B$6)*(LN(MAX(G140,0.01))-LN(MIN(成本与现售价!$I$4:$I$172)))/(LN(MAX(成本与现售价!$I$4:$I$172))-LN(MIN(成本与现售价!$I$4:$I$172)))))</f>
        <v>0.231318071777601</v>
      </c>
      <c r="I140" s="8">
        <f>CEILING(G140/(1-H140)/费率与参数!$B$2,费率与参数!$B$3)*费率与参数!$B$2</f>
        <v>29.25</v>
      </c>
      <c r="J140" s="5">
        <f>I140/费率与参数!$B$2</f>
        <v>2925</v>
      </c>
      <c r="K140" s="9">
        <f t="shared" si="2"/>
        <v>0.231364102564103</v>
      </c>
      <c r="L140" s="5">
        <f>成本与现售价!$J$140</f>
        <v>2249</v>
      </c>
      <c r="M140" s="10">
        <f>I140/成本与现售价!$K$140-1</f>
        <v>0.300578034682081</v>
      </c>
    </row>
    <row r="141" spans="1:13">
      <c r="A141" s="4" t="s">
        <v>79</v>
      </c>
      <c r="B141" s="4" t="s">
        <v>87</v>
      </c>
      <c r="C141" s="4" t="s">
        <v>110</v>
      </c>
      <c r="D141" s="4" t="s">
        <v>29</v>
      </c>
      <c r="E141" s="4">
        <v>20</v>
      </c>
      <c r="F141" s="5">
        <v>0</v>
      </c>
      <c r="G141" s="6">
        <f>成本与现售价!$I$141</f>
        <v>29.9768</v>
      </c>
      <c r="H141" s="7">
        <f>MIN(0.95,MAX(费率与参数!$B$6,费率与参数!$B$5-(费率与参数!$B$5-费率与参数!$B$6)*(LN(MAX(G141,0.01))-LN(MIN(成本与现售价!$I$4:$I$172)))/(LN(MAX(成本与现售价!$I$4:$I$172))-LN(MIN(成本与现售价!$I$4:$I$172)))))</f>
        <v>0.211431293330242</v>
      </c>
      <c r="I141" s="8">
        <f>CEILING(G141/(1-H141)/费率与参数!$B$2,费率与参数!$B$3)*费率与参数!$B$2</f>
        <v>38.02</v>
      </c>
      <c r="J141" s="5">
        <f>I141/费率与参数!$B$2</f>
        <v>3802</v>
      </c>
      <c r="K141" s="9">
        <f t="shared" si="2"/>
        <v>0.211551814834298</v>
      </c>
      <c r="L141" s="5">
        <f>成本与现售价!$J$141</f>
        <v>2998</v>
      </c>
      <c r="M141" s="10">
        <f>I141/成本与现售价!$K$141-1</f>
        <v>0.268178785857238</v>
      </c>
    </row>
    <row r="142" spans="1:13">
      <c r="A142" s="4" t="s">
        <v>79</v>
      </c>
      <c r="B142" s="4" t="s">
        <v>87</v>
      </c>
      <c r="C142" s="4" t="s">
        <v>110</v>
      </c>
      <c r="D142" s="4" t="s">
        <v>29</v>
      </c>
      <c r="E142" s="4">
        <v>30</v>
      </c>
      <c r="F142" s="5">
        <v>0</v>
      </c>
      <c r="G142" s="6">
        <f>成本与现售价!$I$142</f>
        <v>44.9652</v>
      </c>
      <c r="H142" s="7">
        <f>MIN(0.95,MAX(费率与参数!$B$6,费率与参数!$B$5-(费率与参数!$B$5-费率与参数!$B$6)*(LN(MAX(G142,0.01))-LN(MIN(成本与现售价!$I$4:$I$172)))/(LN(MAX(成本与现售价!$I$4:$I$172))-LN(MIN(成本与现售价!$I$4:$I$172)))))</f>
        <v>0.183402453352969</v>
      </c>
      <c r="I142" s="8">
        <f>CEILING(G142/(1-H142)/费率与参数!$B$2,费率与参数!$B$3)*费率与参数!$B$2</f>
        <v>55.07</v>
      </c>
      <c r="J142" s="5">
        <f>I142/费率与参数!$B$2</f>
        <v>5507</v>
      </c>
      <c r="K142" s="9">
        <f t="shared" si="2"/>
        <v>0.183490103504631</v>
      </c>
      <c r="L142" s="5">
        <f>成本与现售价!$J$142</f>
        <v>4497</v>
      </c>
      <c r="M142" s="10">
        <f>I142/成本与现售价!$K$142-1</f>
        <v>0.224594173893707</v>
      </c>
    </row>
    <row r="143" spans="1:13">
      <c r="A143" s="4" t="s">
        <v>79</v>
      </c>
      <c r="B143" s="4" t="s">
        <v>80</v>
      </c>
      <c r="C143" s="4" t="s">
        <v>111</v>
      </c>
      <c r="D143" s="4" t="s">
        <v>27</v>
      </c>
      <c r="E143" s="4">
        <v>5</v>
      </c>
      <c r="F143" s="5">
        <v>5</v>
      </c>
      <c r="G143" s="6">
        <f>成本与现售价!$I$143</f>
        <v>3</v>
      </c>
      <c r="H143" s="7">
        <f>MIN(0.95,MAX(费率与参数!$B$6,费率与参数!$B$5-(费率与参数!$B$5-费率与参数!$B$6)*(LN(MAX(G143,0.01))-LN(MIN(成本与现售价!$I$4:$I$172)))/(LN(MAX(成本与现售价!$I$4:$I$172))-LN(MIN(成本与现售价!$I$4:$I$172)))))</f>
        <v>0.370550052980842</v>
      </c>
      <c r="I143" s="8">
        <f>CEILING(G143/(1-H143)/费率与参数!$B$2,费率与参数!$B$3)*费率与参数!$B$2</f>
        <v>4.77</v>
      </c>
      <c r="J143" s="5">
        <f>I143/费率与参数!$B$2</f>
        <v>477</v>
      </c>
      <c r="K143" s="9">
        <f t="shared" si="2"/>
        <v>0.371069182389937</v>
      </c>
      <c r="L143" s="5">
        <f>成本与现售价!$J$143</f>
        <v>300</v>
      </c>
      <c r="M143" s="10">
        <f>I143/成本与现售价!$K$143-1</f>
        <v>0.59</v>
      </c>
    </row>
    <row r="144" spans="1:13">
      <c r="A144" s="4" t="s">
        <v>79</v>
      </c>
      <c r="B144" s="4" t="s">
        <v>87</v>
      </c>
      <c r="C144" s="4" t="s">
        <v>111</v>
      </c>
      <c r="D144" s="4" t="s">
        <v>27</v>
      </c>
      <c r="E144" s="4">
        <v>5</v>
      </c>
      <c r="F144" s="5">
        <v>5</v>
      </c>
      <c r="G144" s="6">
        <f>成本与现售价!$I$144</f>
        <v>3.7471</v>
      </c>
      <c r="H144" s="7">
        <f>MIN(0.95,MAX(费率与参数!$B$6,费率与参数!$B$5-(费率与参数!$B$5-费率与参数!$B$6)*(LN(MAX(G144,0.01))-LN(MIN(成本与现售价!$I$4:$I$172)))/(LN(MAX(成本与现售价!$I$4:$I$172))-LN(MIN(成本与现售价!$I$4:$I$172)))))</f>
        <v>0.355178148604139</v>
      </c>
      <c r="I144" s="8">
        <f>CEILING(G144/(1-H144)/费率与参数!$B$2,费率与参数!$B$3)*费率与参数!$B$2</f>
        <v>5.82</v>
      </c>
      <c r="J144" s="5">
        <f>I144/费率与参数!$B$2</f>
        <v>582</v>
      </c>
      <c r="K144" s="9">
        <f t="shared" si="2"/>
        <v>0.356168384879725</v>
      </c>
      <c r="L144" s="5">
        <f>成本与现售价!$J$144</f>
        <v>375</v>
      </c>
      <c r="M144" s="10">
        <f>I144/成本与现售价!$K$144-1</f>
        <v>0.552</v>
      </c>
    </row>
    <row r="145" spans="1:13">
      <c r="A145" s="4" t="s">
        <v>79</v>
      </c>
      <c r="B145" s="4" t="s">
        <v>80</v>
      </c>
      <c r="C145" s="4" t="s">
        <v>111</v>
      </c>
      <c r="D145" s="4" t="s">
        <v>27</v>
      </c>
      <c r="E145" s="4">
        <v>10</v>
      </c>
      <c r="F145" s="5">
        <v>5</v>
      </c>
      <c r="G145" s="6">
        <f>成本与现售价!$I$145</f>
        <v>4.5</v>
      </c>
      <c r="H145" s="7">
        <f>MIN(0.95,MAX(费率与参数!$B$6,费率与参数!$B$5-(费率与参数!$B$5-费率与参数!$B$6)*(LN(MAX(G145,0.01))-LN(MIN(成本与现售价!$I$4:$I$172)))/(LN(MAX(成本与现售价!$I$4:$I$172))-LN(MIN(成本与现售价!$I$4:$I$172)))))</f>
        <v>0.342521213003568</v>
      </c>
      <c r="I145" s="8">
        <f>CEILING(G145/(1-H145)/费率与参数!$B$2,费率与参数!$B$3)*费率与参数!$B$2</f>
        <v>6.85</v>
      </c>
      <c r="J145" s="5">
        <f>I145/费率与参数!$B$2</f>
        <v>685</v>
      </c>
      <c r="K145" s="9">
        <f t="shared" si="2"/>
        <v>0.343065693430657</v>
      </c>
      <c r="L145" s="5">
        <f>成本与现售价!$J$145</f>
        <v>450</v>
      </c>
      <c r="M145" s="10">
        <f>I145/成本与现售价!$K$145-1</f>
        <v>0.522222222222222</v>
      </c>
    </row>
    <row r="146" spans="1:13">
      <c r="A146" s="4" t="s">
        <v>79</v>
      </c>
      <c r="B146" s="4" t="s">
        <v>87</v>
      </c>
      <c r="C146" s="4" t="s">
        <v>111</v>
      </c>
      <c r="D146" s="4" t="s">
        <v>27</v>
      </c>
      <c r="E146" s="4">
        <v>10</v>
      </c>
      <c r="F146" s="5">
        <v>5</v>
      </c>
      <c r="G146" s="6">
        <f>成本与现售价!$I$146</f>
        <v>5.62065</v>
      </c>
      <c r="H146" s="7">
        <f>MIN(0.95,MAX(费率与参数!$B$6,费率与参数!$B$5-(费率与参数!$B$5-费率与参数!$B$6)*(LN(MAX(G146,0.01))-LN(MIN(成本与现售价!$I$4:$I$172)))/(LN(MAX(成本与现售价!$I$4:$I$172))-LN(MIN(成本与现售价!$I$4:$I$172)))))</f>
        <v>0.327149308626866</v>
      </c>
      <c r="I146" s="8">
        <f>CEILING(G146/(1-H146)/费率与参数!$B$2,费率与参数!$B$3)*费率与参数!$B$2</f>
        <v>8.36</v>
      </c>
      <c r="J146" s="5">
        <f>I146/费率与参数!$B$2</f>
        <v>836</v>
      </c>
      <c r="K146" s="9">
        <f t="shared" si="2"/>
        <v>0.327673444976077</v>
      </c>
      <c r="L146" s="5">
        <f>成本与现售价!$J$146</f>
        <v>563</v>
      </c>
      <c r="M146" s="10">
        <f>I146/成本与现售价!$K$146-1</f>
        <v>0.484902309058614</v>
      </c>
    </row>
    <row r="147" spans="1:13">
      <c r="A147" s="4" t="s">
        <v>79</v>
      </c>
      <c r="B147" s="4" t="s">
        <v>80</v>
      </c>
      <c r="C147" s="4" t="s">
        <v>111</v>
      </c>
      <c r="D147" s="4" t="s">
        <v>27</v>
      </c>
      <c r="E147" s="4">
        <v>15</v>
      </c>
      <c r="F147" s="5">
        <v>5</v>
      </c>
      <c r="G147" s="6">
        <f>成本与现售价!$I$147</f>
        <v>6</v>
      </c>
      <c r="H147" s="7">
        <f>MIN(0.95,MAX(费率与参数!$B$6,费率与参数!$B$5-(费率与参数!$B$5-费率与参数!$B$6)*(LN(MAX(G147,0.01))-LN(MIN(成本与现售价!$I$4:$I$172)))/(LN(MAX(成本与现售价!$I$4:$I$172))-LN(MIN(成本与现售价!$I$4:$I$172)))))</f>
        <v>0.322634434556209</v>
      </c>
      <c r="I147" s="8">
        <f>CEILING(G147/(1-H147)/费率与参数!$B$2,费率与参数!$B$3)*费率与参数!$B$2</f>
        <v>8.86</v>
      </c>
      <c r="J147" s="5">
        <f>I147/费率与参数!$B$2</f>
        <v>886</v>
      </c>
      <c r="K147" s="9">
        <f t="shared" si="2"/>
        <v>0.322799097065463</v>
      </c>
      <c r="L147" s="5">
        <f>成本与现售价!$J$147</f>
        <v>600</v>
      </c>
      <c r="M147" s="10">
        <f>I147/成本与现售价!$K$147-1</f>
        <v>0.476666666666667</v>
      </c>
    </row>
    <row r="148" spans="1:13">
      <c r="A148" s="4" t="s">
        <v>79</v>
      </c>
      <c r="B148" s="4" t="s">
        <v>87</v>
      </c>
      <c r="C148" s="4" t="s">
        <v>111</v>
      </c>
      <c r="D148" s="4" t="s">
        <v>27</v>
      </c>
      <c r="E148" s="4">
        <v>15</v>
      </c>
      <c r="F148" s="5">
        <v>5</v>
      </c>
      <c r="G148" s="6">
        <f>成本与现售价!$I$148</f>
        <v>7.4942</v>
      </c>
      <c r="H148" s="7">
        <f>MIN(0.95,MAX(费率与参数!$B$6,费率与参数!$B$5-(费率与参数!$B$5-费率与参数!$B$6)*(LN(MAX(G148,0.01))-LN(MIN(成本与现售价!$I$4:$I$172)))/(LN(MAX(成本与现售价!$I$4:$I$172))-LN(MIN(成本与现售价!$I$4:$I$172)))))</f>
        <v>0.307262530179507</v>
      </c>
      <c r="I148" s="8">
        <f>CEILING(G148/(1-H148)/费率与参数!$B$2,费率与参数!$B$3)*费率与参数!$B$2</f>
        <v>10.82</v>
      </c>
      <c r="J148" s="5">
        <f>I148/费率与参数!$B$2</f>
        <v>1082</v>
      </c>
      <c r="K148" s="9">
        <f t="shared" si="2"/>
        <v>0.307375231053605</v>
      </c>
      <c r="L148" s="5">
        <f>成本与现售价!$J$148</f>
        <v>750</v>
      </c>
      <c r="M148" s="10">
        <f>I148/成本与现售价!$K$148-1</f>
        <v>0.442666666666667</v>
      </c>
    </row>
    <row r="149" spans="1:13">
      <c r="A149" s="4" t="s">
        <v>79</v>
      </c>
      <c r="B149" s="4" t="s">
        <v>80</v>
      </c>
      <c r="C149" s="4" t="s">
        <v>111</v>
      </c>
      <c r="D149" s="4" t="s">
        <v>27</v>
      </c>
      <c r="E149" s="4">
        <v>20</v>
      </c>
      <c r="F149" s="5">
        <v>5</v>
      </c>
      <c r="G149" s="6">
        <f>成本与现售价!$I$149</f>
        <v>7.5</v>
      </c>
      <c r="H149" s="7">
        <f>MIN(0.95,MAX(费率与参数!$B$6,费率与参数!$B$5-(费率与参数!$B$5-费率与参数!$B$6)*(LN(MAX(G149,0.01))-LN(MIN(成本与现售价!$I$4:$I$172)))/(LN(MAX(成本与现售价!$I$4:$I$172))-LN(MIN(成本与现售价!$I$4:$I$172)))))</f>
        <v>0.307209050801417</v>
      </c>
      <c r="I149" s="8">
        <f>CEILING(G149/(1-H149)/费率与参数!$B$2,费率与参数!$B$3)*费率与参数!$B$2</f>
        <v>10.83</v>
      </c>
      <c r="J149" s="5">
        <f>I149/费率与参数!$B$2</f>
        <v>1083</v>
      </c>
      <c r="K149" s="9">
        <f t="shared" si="2"/>
        <v>0.307479224376731</v>
      </c>
      <c r="L149" s="5">
        <f>成本与现售价!$J$149</f>
        <v>750</v>
      </c>
      <c r="M149" s="10">
        <f>I149/成本与现售价!$K$149-1</f>
        <v>0.444</v>
      </c>
    </row>
    <row r="150" spans="1:13">
      <c r="A150" s="4" t="s">
        <v>79</v>
      </c>
      <c r="B150" s="4" t="s">
        <v>87</v>
      </c>
      <c r="C150" s="4" t="s">
        <v>111</v>
      </c>
      <c r="D150" s="4" t="s">
        <v>27</v>
      </c>
      <c r="E150" s="4">
        <v>20</v>
      </c>
      <c r="F150" s="5">
        <v>5</v>
      </c>
      <c r="G150" s="6">
        <f>成本与现售价!$I$150</f>
        <v>9.36775</v>
      </c>
      <c r="H150" s="7">
        <f>MIN(0.95,MAX(费率与参数!$B$6,费率与参数!$B$5-(费率与参数!$B$5-费率与参数!$B$6)*(LN(MAX(G150,0.01))-LN(MIN(成本与现售价!$I$4:$I$172)))/(LN(MAX(成本与现售价!$I$4:$I$172))-LN(MIN(成本与现售价!$I$4:$I$172)))))</f>
        <v>0.291837146424715</v>
      </c>
      <c r="I150" s="8">
        <f>CEILING(G150/(1-H150)/费率与参数!$B$2,费率与参数!$B$3)*费率与参数!$B$2</f>
        <v>13.23</v>
      </c>
      <c r="J150" s="5">
        <f>I150/费率与参数!$B$2</f>
        <v>1323</v>
      </c>
      <c r="K150" s="9">
        <f t="shared" si="2"/>
        <v>0.291931216931217</v>
      </c>
      <c r="L150" s="5">
        <f>成本与现售价!$J$150</f>
        <v>937</v>
      </c>
      <c r="M150" s="10">
        <f>I150/成本与现售价!$K$150-1</f>
        <v>0.411953041622198</v>
      </c>
    </row>
    <row r="151" spans="1:13">
      <c r="A151" s="4" t="s">
        <v>79</v>
      </c>
      <c r="B151" s="4" t="s">
        <v>80</v>
      </c>
      <c r="C151" s="4" t="s">
        <v>111</v>
      </c>
      <c r="D151" s="4" t="s">
        <v>27</v>
      </c>
      <c r="E151" s="4">
        <v>30</v>
      </c>
      <c r="F151" s="5">
        <v>5</v>
      </c>
      <c r="G151" s="6">
        <f>成本与现售价!$I$151</f>
        <v>10.5</v>
      </c>
      <c r="H151" s="7">
        <f>MIN(0.95,MAX(费率与参数!$B$6,费率与参数!$B$5-(费率与参数!$B$5-费率与参数!$B$6)*(LN(MAX(G151,0.01))-LN(MIN(成本与现售价!$I$4:$I$172)))/(LN(MAX(成本与现售价!$I$4:$I$172))-LN(MIN(成本与现售价!$I$4:$I$172)))))</f>
        <v>0.283949524177648</v>
      </c>
      <c r="I151" s="8">
        <f>CEILING(G151/(1-H151)/费率与参数!$B$2,费率与参数!$B$3)*费率与参数!$B$2</f>
        <v>14.67</v>
      </c>
      <c r="J151" s="5">
        <f>I151/费率与参数!$B$2</f>
        <v>1467</v>
      </c>
      <c r="K151" s="9">
        <f t="shared" si="2"/>
        <v>0.284253578732106</v>
      </c>
      <c r="L151" s="5">
        <f>成本与现售价!$J$151</f>
        <v>1050</v>
      </c>
      <c r="M151" s="10">
        <f>I151/成本与现售价!$K$151-1</f>
        <v>0.397142857142857</v>
      </c>
    </row>
    <row r="152" spans="1:13">
      <c r="A152" s="4" t="s">
        <v>79</v>
      </c>
      <c r="B152" s="4" t="s">
        <v>87</v>
      </c>
      <c r="C152" s="4" t="s">
        <v>111</v>
      </c>
      <c r="D152" s="4" t="s">
        <v>27</v>
      </c>
      <c r="E152" s="4">
        <v>30</v>
      </c>
      <c r="F152" s="5">
        <v>5</v>
      </c>
      <c r="G152" s="6">
        <f>成本与现售价!$I$152</f>
        <v>13.11485</v>
      </c>
      <c r="H152" s="7">
        <f>MIN(0.95,MAX(费率与参数!$B$6,费率与参数!$B$5-(费率与参数!$B$5-费率与参数!$B$6)*(LN(MAX(G152,0.01))-LN(MIN(成本与现售价!$I$4:$I$172)))/(LN(MAX(成本与现售价!$I$4:$I$172))-LN(MIN(成本与现售价!$I$4:$I$172)))))</f>
        <v>0.268577619800946</v>
      </c>
      <c r="I152" s="8">
        <f>CEILING(G152/(1-H152)/费率与参数!$B$2,费率与参数!$B$3)*费率与参数!$B$2</f>
        <v>17.94</v>
      </c>
      <c r="J152" s="5">
        <f>I152/费率与参数!$B$2</f>
        <v>1794</v>
      </c>
      <c r="K152" s="9">
        <f t="shared" si="2"/>
        <v>0.268960423634337</v>
      </c>
      <c r="L152" s="5">
        <f>成本与现售价!$J$152</f>
        <v>1312</v>
      </c>
      <c r="M152" s="10">
        <f>I152/成本与现售价!$K$152-1</f>
        <v>0.367378048780488</v>
      </c>
    </row>
    <row r="153" spans="1:13">
      <c r="A153" s="4" t="s">
        <v>79</v>
      </c>
      <c r="B153" s="4" t="s">
        <v>80</v>
      </c>
      <c r="C153" s="4" t="s">
        <v>111</v>
      </c>
      <c r="D153" s="4" t="s">
        <v>28</v>
      </c>
      <c r="E153" s="4">
        <v>5</v>
      </c>
      <c r="F153" s="5">
        <v>5</v>
      </c>
      <c r="G153" s="6">
        <f>成本与现售价!$I$153</f>
        <v>6</v>
      </c>
      <c r="H153" s="7">
        <f>MIN(0.95,MAX(费率与参数!$B$6,费率与参数!$B$5-(费率与参数!$B$5-费率与参数!$B$6)*(LN(MAX(G153,0.01))-LN(MIN(成本与现售价!$I$4:$I$172)))/(LN(MAX(成本与现售价!$I$4:$I$172))-LN(MIN(成本与现售价!$I$4:$I$172)))))</f>
        <v>0.322634434556209</v>
      </c>
      <c r="I153" s="8">
        <f>CEILING(G153/(1-H153)/费率与参数!$B$2,费率与参数!$B$3)*费率与参数!$B$2</f>
        <v>8.86</v>
      </c>
      <c r="J153" s="5">
        <f>I153/费率与参数!$B$2</f>
        <v>886</v>
      </c>
      <c r="K153" s="9">
        <f t="shared" si="2"/>
        <v>0.322799097065463</v>
      </c>
      <c r="L153" s="5">
        <f>成本与现售价!$J$153</f>
        <v>600</v>
      </c>
      <c r="M153" s="10">
        <f>I153/成本与现售价!$K$153-1</f>
        <v>0.476666666666667</v>
      </c>
    </row>
    <row r="154" spans="1:13">
      <c r="A154" s="4" t="s">
        <v>79</v>
      </c>
      <c r="B154" s="4" t="s">
        <v>87</v>
      </c>
      <c r="C154" s="4" t="s">
        <v>111</v>
      </c>
      <c r="D154" s="4" t="s">
        <v>28</v>
      </c>
      <c r="E154" s="4">
        <v>5</v>
      </c>
      <c r="F154" s="5">
        <v>5</v>
      </c>
      <c r="G154" s="6">
        <f>成本与现售价!$I$154</f>
        <v>7.4942</v>
      </c>
      <c r="H154" s="7">
        <f>MIN(0.95,MAX(费率与参数!$B$6,费率与参数!$B$5-(费率与参数!$B$5-费率与参数!$B$6)*(LN(MAX(G154,0.01))-LN(MIN(成本与现售价!$I$4:$I$172)))/(LN(MAX(成本与现售价!$I$4:$I$172))-LN(MIN(成本与现售价!$I$4:$I$172)))))</f>
        <v>0.307262530179507</v>
      </c>
      <c r="I154" s="8">
        <f>CEILING(G154/(1-H154)/费率与参数!$B$2,费率与参数!$B$3)*费率与参数!$B$2</f>
        <v>10.82</v>
      </c>
      <c r="J154" s="5">
        <f>I154/费率与参数!$B$2</f>
        <v>1082</v>
      </c>
      <c r="K154" s="9">
        <f t="shared" si="2"/>
        <v>0.307375231053605</v>
      </c>
      <c r="L154" s="5">
        <f>成本与现售价!$J$154</f>
        <v>750</v>
      </c>
      <c r="M154" s="10">
        <f>I154/成本与现售价!$K$154-1</f>
        <v>0.442666666666667</v>
      </c>
    </row>
    <row r="155" spans="1:13">
      <c r="A155" s="4" t="s">
        <v>79</v>
      </c>
      <c r="B155" s="4" t="s">
        <v>80</v>
      </c>
      <c r="C155" s="4" t="s">
        <v>111</v>
      </c>
      <c r="D155" s="4" t="s">
        <v>28</v>
      </c>
      <c r="E155" s="4">
        <v>10</v>
      </c>
      <c r="F155" s="5">
        <v>5</v>
      </c>
      <c r="G155" s="6">
        <f>成本与现售价!$I$155</f>
        <v>9</v>
      </c>
      <c r="H155" s="7">
        <f>MIN(0.95,MAX(费率与参数!$B$6,费率与参数!$B$5-(费率与参数!$B$5-费率与参数!$B$6)*(LN(MAX(G155,0.01))-LN(MIN(成本与现售价!$I$4:$I$172)))/(LN(MAX(成本与现售价!$I$4:$I$172))-LN(MIN(成本与现售价!$I$4:$I$172)))))</f>
        <v>0.294605594578936</v>
      </c>
      <c r="I155" s="8">
        <f>CEILING(G155/(1-H155)/费率与参数!$B$2,费率与参数!$B$3)*费率与参数!$B$2</f>
        <v>12.76</v>
      </c>
      <c r="J155" s="5">
        <f>I155/费率与参数!$B$2</f>
        <v>1276</v>
      </c>
      <c r="K155" s="9">
        <f t="shared" si="2"/>
        <v>0.294670846394984</v>
      </c>
      <c r="L155" s="5">
        <f>成本与现售价!$J$155</f>
        <v>900</v>
      </c>
      <c r="M155" s="10">
        <f>I155/成本与现售价!$K$155-1</f>
        <v>0.417777777777778</v>
      </c>
    </row>
    <row r="156" spans="1:13">
      <c r="A156" s="4" t="s">
        <v>79</v>
      </c>
      <c r="B156" s="4" t="s">
        <v>87</v>
      </c>
      <c r="C156" s="4" t="s">
        <v>111</v>
      </c>
      <c r="D156" s="4" t="s">
        <v>28</v>
      </c>
      <c r="E156" s="4">
        <v>10</v>
      </c>
      <c r="F156" s="5">
        <v>5</v>
      </c>
      <c r="G156" s="6">
        <f>成本与现售价!$I$156</f>
        <v>11.2413</v>
      </c>
      <c r="H156" s="7">
        <f>MIN(0.95,MAX(费率与参数!$B$6,费率与参数!$B$5-(费率与参数!$B$5-费率与参数!$B$6)*(LN(MAX(G156,0.01))-LN(MIN(成本与现售价!$I$4:$I$172)))/(LN(MAX(成本与现售价!$I$4:$I$172))-LN(MIN(成本与现售价!$I$4:$I$172)))))</f>
        <v>0.279233690202233</v>
      </c>
      <c r="I156" s="8">
        <f>CEILING(G156/(1-H156)/费率与参数!$B$2,费率与参数!$B$3)*费率与参数!$B$2</f>
        <v>15.6</v>
      </c>
      <c r="J156" s="5">
        <f>I156/费率与参数!$B$2</f>
        <v>1560</v>
      </c>
      <c r="K156" s="9">
        <f t="shared" si="2"/>
        <v>0.279403846153846</v>
      </c>
      <c r="L156" s="5">
        <f>成本与现售价!$J$156</f>
        <v>1125</v>
      </c>
      <c r="M156" s="10">
        <f>I156/成本与现售价!$K$156-1</f>
        <v>0.386666666666667</v>
      </c>
    </row>
    <row r="157" spans="1:13">
      <c r="A157" s="4" t="s">
        <v>79</v>
      </c>
      <c r="B157" s="4" t="s">
        <v>80</v>
      </c>
      <c r="C157" s="4" t="s">
        <v>111</v>
      </c>
      <c r="D157" s="4" t="s">
        <v>28</v>
      </c>
      <c r="E157" s="4">
        <v>15</v>
      </c>
      <c r="F157" s="5">
        <v>5</v>
      </c>
      <c r="G157" s="6">
        <f>成本与现售价!$I$157</f>
        <v>12</v>
      </c>
      <c r="H157" s="7">
        <f>MIN(0.95,MAX(费率与参数!$B$6,费率与参数!$B$5-(费率与参数!$B$5-费率与参数!$B$6)*(LN(MAX(G157,0.01))-LN(MIN(成本与现售价!$I$4:$I$172)))/(LN(MAX(成本与现售价!$I$4:$I$172))-LN(MIN(成本与现售价!$I$4:$I$172)))))</f>
        <v>0.274718816131577</v>
      </c>
      <c r="I157" s="8">
        <f>CEILING(G157/(1-H157)/费率与参数!$B$2,费率与参数!$B$3)*费率与参数!$B$2</f>
        <v>16.55</v>
      </c>
      <c r="J157" s="5">
        <f>I157/费率与参数!$B$2</f>
        <v>1655</v>
      </c>
      <c r="K157" s="9">
        <f t="shared" si="2"/>
        <v>0.274924471299094</v>
      </c>
      <c r="L157" s="5">
        <f>成本与现售价!$J$157</f>
        <v>1200</v>
      </c>
      <c r="M157" s="10">
        <f>I157/成本与现售价!$K$157-1</f>
        <v>0.379166666666667</v>
      </c>
    </row>
    <row r="158" spans="1:13">
      <c r="A158" s="4" t="s">
        <v>79</v>
      </c>
      <c r="B158" s="4" t="s">
        <v>87</v>
      </c>
      <c r="C158" s="4" t="s">
        <v>111</v>
      </c>
      <c r="D158" s="4" t="s">
        <v>28</v>
      </c>
      <c r="E158" s="4">
        <v>15</v>
      </c>
      <c r="F158" s="5">
        <v>5</v>
      </c>
      <c r="G158" s="6">
        <f>成本与现售价!$I$158</f>
        <v>14.9884</v>
      </c>
      <c r="H158" s="7">
        <f>MIN(0.95,MAX(费率与参数!$B$6,费率与参数!$B$5-(费率与参数!$B$5-费率与参数!$B$6)*(LN(MAX(G158,0.01))-LN(MIN(成本与现售价!$I$4:$I$172)))/(LN(MAX(成本与现售价!$I$4:$I$172))-LN(MIN(成本与现售价!$I$4:$I$172)))))</f>
        <v>0.259346911754875</v>
      </c>
      <c r="I158" s="8">
        <f>CEILING(G158/(1-H158)/费率与参数!$B$2,费率与参数!$B$3)*费率与参数!$B$2</f>
        <v>20.24</v>
      </c>
      <c r="J158" s="5">
        <f>I158/费率与参数!$B$2</f>
        <v>2024</v>
      </c>
      <c r="K158" s="9">
        <f t="shared" si="2"/>
        <v>0.259466403162055</v>
      </c>
      <c r="L158" s="5">
        <f>成本与现售价!$J$158</f>
        <v>1499</v>
      </c>
      <c r="M158" s="10">
        <f>I158/成本与现售价!$K$158-1</f>
        <v>0.350233488992662</v>
      </c>
    </row>
    <row r="159" spans="1:13">
      <c r="A159" s="4" t="s">
        <v>79</v>
      </c>
      <c r="B159" s="4" t="s">
        <v>80</v>
      </c>
      <c r="C159" s="4" t="s">
        <v>111</v>
      </c>
      <c r="D159" s="4" t="s">
        <v>28</v>
      </c>
      <c r="E159" s="4">
        <v>20</v>
      </c>
      <c r="F159" s="5">
        <v>5</v>
      </c>
      <c r="G159" s="6">
        <f>成本与现售价!$I$159</f>
        <v>15</v>
      </c>
      <c r="H159" s="7">
        <f>MIN(0.95,MAX(费率与参数!$B$6,费率与参数!$B$5-(费率与参数!$B$5-费率与参数!$B$6)*(LN(MAX(G159,0.01))-LN(MIN(成本与现售价!$I$4:$I$172)))/(LN(MAX(成本与现售价!$I$4:$I$172))-LN(MIN(成本与现售价!$I$4:$I$172)))))</f>
        <v>0.259293432376785</v>
      </c>
      <c r="I159" s="8">
        <f>CEILING(G159/(1-H159)/费率与参数!$B$2,费率与参数!$B$3)*费率与参数!$B$2</f>
        <v>20.26</v>
      </c>
      <c r="J159" s="5">
        <f>I159/费率与参数!$B$2</f>
        <v>2026</v>
      </c>
      <c r="K159" s="9">
        <f t="shared" si="2"/>
        <v>0.259624876604146</v>
      </c>
      <c r="L159" s="5">
        <f>成本与现售价!$J$159</f>
        <v>1500</v>
      </c>
      <c r="M159" s="10">
        <f>I159/成本与现售价!$K$159-1</f>
        <v>0.350666666666667</v>
      </c>
    </row>
    <row r="160" spans="1:13">
      <c r="A160" s="4" t="s">
        <v>79</v>
      </c>
      <c r="B160" s="4" t="s">
        <v>87</v>
      </c>
      <c r="C160" s="4" t="s">
        <v>111</v>
      </c>
      <c r="D160" s="4" t="s">
        <v>28</v>
      </c>
      <c r="E160" s="4">
        <v>20</v>
      </c>
      <c r="F160" s="5">
        <v>5</v>
      </c>
      <c r="G160" s="6">
        <f>成本与现售价!$I$160</f>
        <v>18.7355</v>
      </c>
      <c r="H160" s="7">
        <f>MIN(0.95,MAX(费率与参数!$B$6,费率与参数!$B$5-(费率与参数!$B$5-费率与参数!$B$6)*(LN(MAX(G160,0.01))-LN(MIN(成本与现售价!$I$4:$I$172)))/(LN(MAX(成本与现售价!$I$4:$I$172))-LN(MIN(成本与现售价!$I$4:$I$172)))))</f>
        <v>0.243921528000083</v>
      </c>
      <c r="I160" s="8">
        <f>CEILING(G160/(1-H160)/费率与参数!$B$2,费率与参数!$B$3)*费率与参数!$B$2</f>
        <v>24.78</v>
      </c>
      <c r="J160" s="5">
        <f>I160/费率与参数!$B$2</f>
        <v>2478</v>
      </c>
      <c r="K160" s="9">
        <f t="shared" si="2"/>
        <v>0.243926553672317</v>
      </c>
      <c r="L160" s="5">
        <f>成本与现售价!$J$160</f>
        <v>1874</v>
      </c>
      <c r="M160" s="10">
        <f>I160/成本与现售价!$K$160-1</f>
        <v>0.32230522945571</v>
      </c>
    </row>
    <row r="161" spans="1:13">
      <c r="A161" s="4" t="s">
        <v>79</v>
      </c>
      <c r="B161" s="4" t="s">
        <v>80</v>
      </c>
      <c r="C161" s="4" t="s">
        <v>111</v>
      </c>
      <c r="D161" s="4" t="s">
        <v>28</v>
      </c>
      <c r="E161" s="4">
        <v>30</v>
      </c>
      <c r="F161" s="5">
        <v>5</v>
      </c>
      <c r="G161" s="6">
        <f>成本与现售价!$I$161</f>
        <v>21</v>
      </c>
      <c r="H161" s="7">
        <f>MIN(0.95,MAX(费率与参数!$B$6,费率与参数!$B$5-(费率与参数!$B$5-费率与参数!$B$6)*(LN(MAX(G161,0.01))-LN(MIN(成本与现售价!$I$4:$I$172)))/(LN(MAX(成本与现售价!$I$4:$I$172))-LN(MIN(成本与现售价!$I$4:$I$172)))))</f>
        <v>0.236033905753016</v>
      </c>
      <c r="I161" s="8">
        <f>CEILING(G161/(1-H161)/费率与参数!$B$2,费率与参数!$B$3)*费率与参数!$B$2</f>
        <v>27.49</v>
      </c>
      <c r="J161" s="5">
        <f>I161/费率与参数!$B$2</f>
        <v>2749</v>
      </c>
      <c r="K161" s="9">
        <f t="shared" si="2"/>
        <v>0.236085849399782</v>
      </c>
      <c r="L161" s="5">
        <f>成本与现售价!$J$161</f>
        <v>2100</v>
      </c>
      <c r="M161" s="10">
        <f>I161/成本与现售价!$K$161-1</f>
        <v>0.309047619047619</v>
      </c>
    </row>
    <row r="162" spans="1:13">
      <c r="A162" s="4" t="s">
        <v>79</v>
      </c>
      <c r="B162" s="4" t="s">
        <v>87</v>
      </c>
      <c r="C162" s="4" t="s">
        <v>111</v>
      </c>
      <c r="D162" s="4" t="s">
        <v>28</v>
      </c>
      <c r="E162" s="4">
        <v>30</v>
      </c>
      <c r="F162" s="5">
        <v>5</v>
      </c>
      <c r="G162" s="6">
        <f>成本与现售价!$I$162</f>
        <v>26.2297</v>
      </c>
      <c r="H162" s="7">
        <f>MIN(0.95,MAX(费率与参数!$B$6,费率与参数!$B$5-(费率与参数!$B$5-费率与参数!$B$6)*(LN(MAX(G162,0.01))-LN(MIN(成本与现售价!$I$4:$I$172)))/(LN(MAX(成本与现售价!$I$4:$I$172))-LN(MIN(成本与现售价!$I$4:$I$172)))))</f>
        <v>0.220662001376314</v>
      </c>
      <c r="I162" s="8">
        <f>CEILING(G162/(1-H162)/费率与参数!$B$2,费率与参数!$B$3)*费率与参数!$B$2</f>
        <v>33.66</v>
      </c>
      <c r="J162" s="5">
        <f>I162/费率与参数!$B$2</f>
        <v>3366</v>
      </c>
      <c r="K162" s="9">
        <f t="shared" si="2"/>
        <v>0.220745692216281</v>
      </c>
      <c r="L162" s="5">
        <f>成本与现售价!$J$162</f>
        <v>2623</v>
      </c>
      <c r="M162" s="10">
        <f>I162/成本与现售价!$K$162-1</f>
        <v>0.283263438810522</v>
      </c>
    </row>
    <row r="163" spans="1:13">
      <c r="A163" s="4" t="s">
        <v>79</v>
      </c>
      <c r="B163" s="4" t="s">
        <v>80</v>
      </c>
      <c r="C163" s="4" t="s">
        <v>111</v>
      </c>
      <c r="D163" s="4" t="s">
        <v>29</v>
      </c>
      <c r="E163" s="4">
        <v>5</v>
      </c>
      <c r="F163" s="5">
        <v>5</v>
      </c>
      <c r="G163" s="6">
        <f>成本与现售价!$I$163</f>
        <v>12</v>
      </c>
      <c r="H163" s="7">
        <f>MIN(0.95,MAX(费率与参数!$B$6,费率与参数!$B$5-(费率与参数!$B$5-费率与参数!$B$6)*(LN(MAX(G163,0.01))-LN(MIN(成本与现售价!$I$4:$I$172)))/(LN(MAX(成本与现售价!$I$4:$I$172))-LN(MIN(成本与现售价!$I$4:$I$172)))))</f>
        <v>0.274718816131577</v>
      </c>
      <c r="I163" s="8">
        <f>CEILING(G163/(1-H163)/费率与参数!$B$2,费率与参数!$B$3)*费率与参数!$B$2</f>
        <v>16.55</v>
      </c>
      <c r="J163" s="5">
        <f>I163/费率与参数!$B$2</f>
        <v>1655</v>
      </c>
      <c r="K163" s="9">
        <f t="shared" si="2"/>
        <v>0.274924471299094</v>
      </c>
      <c r="L163" s="5">
        <f>成本与现售价!$J$163</f>
        <v>1200</v>
      </c>
      <c r="M163" s="10">
        <f>I163/成本与现售价!$K$163-1</f>
        <v>0.379166666666667</v>
      </c>
    </row>
    <row r="164" spans="1:13">
      <c r="A164" s="4" t="s">
        <v>79</v>
      </c>
      <c r="B164" s="4" t="s">
        <v>87</v>
      </c>
      <c r="C164" s="4" t="s">
        <v>111</v>
      </c>
      <c r="D164" s="4" t="s">
        <v>29</v>
      </c>
      <c r="E164" s="4">
        <v>5</v>
      </c>
      <c r="F164" s="5">
        <v>5</v>
      </c>
      <c r="G164" s="6">
        <f>成本与现售价!$I$164</f>
        <v>14.9884</v>
      </c>
      <c r="H164" s="7">
        <f>MIN(0.95,MAX(费率与参数!$B$6,费率与参数!$B$5-(费率与参数!$B$5-费率与参数!$B$6)*(LN(MAX(G164,0.01))-LN(MIN(成本与现售价!$I$4:$I$172)))/(LN(MAX(成本与现售价!$I$4:$I$172))-LN(MIN(成本与现售价!$I$4:$I$172)))))</f>
        <v>0.259346911754875</v>
      </c>
      <c r="I164" s="8">
        <f>CEILING(G164/(1-H164)/费率与参数!$B$2,费率与参数!$B$3)*费率与参数!$B$2</f>
        <v>20.24</v>
      </c>
      <c r="J164" s="5">
        <f>I164/费率与参数!$B$2</f>
        <v>2024</v>
      </c>
      <c r="K164" s="9">
        <f t="shared" si="2"/>
        <v>0.259466403162055</v>
      </c>
      <c r="L164" s="5">
        <f>成本与现售价!$J$164</f>
        <v>1499</v>
      </c>
      <c r="M164" s="10">
        <f>I164/成本与现售价!$K$164-1</f>
        <v>0.350233488992662</v>
      </c>
    </row>
    <row r="165" spans="1:13">
      <c r="A165" s="4" t="s">
        <v>79</v>
      </c>
      <c r="B165" s="4" t="s">
        <v>80</v>
      </c>
      <c r="C165" s="4" t="s">
        <v>111</v>
      </c>
      <c r="D165" s="4" t="s">
        <v>29</v>
      </c>
      <c r="E165" s="4">
        <v>10</v>
      </c>
      <c r="F165" s="5">
        <v>5</v>
      </c>
      <c r="G165" s="6">
        <f>成本与现售价!$I$165</f>
        <v>18</v>
      </c>
      <c r="H165" s="7">
        <f>MIN(0.95,MAX(费率与参数!$B$6,费率与参数!$B$5-(费率与参数!$B$5-费率与参数!$B$6)*(LN(MAX(G165,0.01))-LN(MIN(成本与现售价!$I$4:$I$172)))/(LN(MAX(成本与现售价!$I$4:$I$172))-LN(MIN(成本与现售价!$I$4:$I$172)))))</f>
        <v>0.246689976154303</v>
      </c>
      <c r="I165" s="8">
        <f>CEILING(G165/(1-H165)/费率与参数!$B$2,费率与参数!$B$3)*费率与参数!$B$2</f>
        <v>23.9</v>
      </c>
      <c r="J165" s="5">
        <f>I165/费率与参数!$B$2</f>
        <v>2390</v>
      </c>
      <c r="K165" s="9">
        <f t="shared" si="2"/>
        <v>0.246861924686193</v>
      </c>
      <c r="L165" s="5">
        <f>成本与现售价!$J$165</f>
        <v>1800</v>
      </c>
      <c r="M165" s="10">
        <f>I165/成本与现售价!$K$165-1</f>
        <v>0.327777777777778</v>
      </c>
    </row>
    <row r="166" spans="1:13">
      <c r="A166" s="4" t="s">
        <v>79</v>
      </c>
      <c r="B166" s="4" t="s">
        <v>87</v>
      </c>
      <c r="C166" s="4" t="s">
        <v>111</v>
      </c>
      <c r="D166" s="4" t="s">
        <v>29</v>
      </c>
      <c r="E166" s="4">
        <v>10</v>
      </c>
      <c r="F166" s="5">
        <v>5</v>
      </c>
      <c r="G166" s="6">
        <f>成本与现售价!$I$166</f>
        <v>22.4826</v>
      </c>
      <c r="H166" s="7">
        <f>MIN(0.95,MAX(费率与参数!$B$6,费率与参数!$B$5-(费率与参数!$B$5-费率与参数!$B$6)*(LN(MAX(G166,0.01))-LN(MIN(成本与现售价!$I$4:$I$172)))/(LN(MAX(成本与现售价!$I$4:$I$172))-LN(MIN(成本与现售价!$I$4:$I$172)))))</f>
        <v>0.231318071777601</v>
      </c>
      <c r="I166" s="8">
        <f>CEILING(G166/(1-H166)/费率与参数!$B$2,费率与参数!$B$3)*费率与参数!$B$2</f>
        <v>29.25</v>
      </c>
      <c r="J166" s="5">
        <f>I166/费率与参数!$B$2</f>
        <v>2925</v>
      </c>
      <c r="K166" s="9">
        <f t="shared" si="2"/>
        <v>0.231364102564103</v>
      </c>
      <c r="L166" s="5">
        <f>成本与现售价!$J$166</f>
        <v>2249</v>
      </c>
      <c r="M166" s="10">
        <f>I166/成本与现售价!$K$166-1</f>
        <v>0.300578034682081</v>
      </c>
    </row>
    <row r="167" spans="1:13">
      <c r="A167" s="4" t="s">
        <v>79</v>
      </c>
      <c r="B167" s="4" t="s">
        <v>80</v>
      </c>
      <c r="C167" s="4" t="s">
        <v>111</v>
      </c>
      <c r="D167" s="4" t="s">
        <v>29</v>
      </c>
      <c r="E167" s="4">
        <v>15</v>
      </c>
      <c r="F167" s="5">
        <v>5</v>
      </c>
      <c r="G167" s="6">
        <f>成本与现售价!$I$167</f>
        <v>24</v>
      </c>
      <c r="H167" s="7">
        <f>MIN(0.95,MAX(费率与参数!$B$6,费率与参数!$B$5-(费率与参数!$B$5-费率与参数!$B$6)*(LN(MAX(G167,0.01))-LN(MIN(成本与现售价!$I$4:$I$172)))/(LN(MAX(成本与现售价!$I$4:$I$172))-LN(MIN(成本与现售价!$I$4:$I$172)))))</f>
        <v>0.226803197706944</v>
      </c>
      <c r="I167" s="8">
        <f>CEILING(G167/(1-H167)/费率与参数!$B$2,费率与参数!$B$3)*费率与参数!$B$2</f>
        <v>31.04</v>
      </c>
      <c r="J167" s="5">
        <f>I167/费率与参数!$B$2</f>
        <v>3104</v>
      </c>
      <c r="K167" s="9">
        <f t="shared" si="2"/>
        <v>0.22680412371134</v>
      </c>
      <c r="L167" s="5">
        <f>成本与现售价!$J$167</f>
        <v>2400</v>
      </c>
      <c r="M167" s="10">
        <f>I167/成本与现售价!$K$167-1</f>
        <v>0.293333333333333</v>
      </c>
    </row>
    <row r="168" spans="1:13">
      <c r="A168" s="4" t="s">
        <v>79</v>
      </c>
      <c r="B168" s="4" t="s">
        <v>87</v>
      </c>
      <c r="C168" s="4" t="s">
        <v>111</v>
      </c>
      <c r="D168" s="4" t="s">
        <v>29</v>
      </c>
      <c r="E168" s="4">
        <v>15</v>
      </c>
      <c r="F168" s="5">
        <v>5</v>
      </c>
      <c r="G168" s="6">
        <f>成本与现售价!$I$168</f>
        <v>29.9768</v>
      </c>
      <c r="H168" s="7">
        <f>MIN(0.95,MAX(费率与参数!$B$6,费率与参数!$B$5-(费率与参数!$B$5-费率与参数!$B$6)*(LN(MAX(G168,0.01))-LN(MIN(成本与现售价!$I$4:$I$172)))/(LN(MAX(成本与现售价!$I$4:$I$172))-LN(MIN(成本与现售价!$I$4:$I$172)))))</f>
        <v>0.211431293330242</v>
      </c>
      <c r="I168" s="8">
        <f>CEILING(G168/(1-H168)/费率与参数!$B$2,费率与参数!$B$3)*费率与参数!$B$2</f>
        <v>38.02</v>
      </c>
      <c r="J168" s="5">
        <f>I168/费率与参数!$B$2</f>
        <v>3802</v>
      </c>
      <c r="K168" s="9">
        <f t="shared" si="2"/>
        <v>0.211551814834298</v>
      </c>
      <c r="L168" s="5">
        <f>成本与现售价!$J$168</f>
        <v>2998</v>
      </c>
      <c r="M168" s="10">
        <f>I168/成本与现售价!$K$168-1</f>
        <v>0.268178785857238</v>
      </c>
    </row>
    <row r="169" spans="1:13">
      <c r="A169" s="4" t="s">
        <v>79</v>
      </c>
      <c r="B169" s="4" t="s">
        <v>80</v>
      </c>
      <c r="C169" s="4" t="s">
        <v>111</v>
      </c>
      <c r="D169" s="4" t="s">
        <v>29</v>
      </c>
      <c r="E169" s="4">
        <v>20</v>
      </c>
      <c r="F169" s="5">
        <v>5</v>
      </c>
      <c r="G169" s="6">
        <f>成本与现售价!$I$169</f>
        <v>30</v>
      </c>
      <c r="H169" s="7">
        <f>MIN(0.95,MAX(费率与参数!$B$6,费率与参数!$B$5-(费率与参数!$B$5-费率与参数!$B$6)*(LN(MAX(G169,0.01))-LN(MIN(成本与现售价!$I$4:$I$172)))/(LN(MAX(成本与现售价!$I$4:$I$172))-LN(MIN(成本与现售价!$I$4:$I$172)))))</f>
        <v>0.211377813952153</v>
      </c>
      <c r="I169" s="8">
        <f>CEILING(G169/(1-H169)/费率与参数!$B$2,费率与参数!$B$3)*费率与参数!$B$2</f>
        <v>38.05</v>
      </c>
      <c r="J169" s="5">
        <f>I169/费率与参数!$B$2</f>
        <v>3805</v>
      </c>
      <c r="K169" s="9">
        <f t="shared" si="2"/>
        <v>0.211563731931669</v>
      </c>
      <c r="L169" s="5">
        <f>成本与现售价!$J$169</f>
        <v>3000</v>
      </c>
      <c r="M169" s="10">
        <f>I169/成本与现售价!$K$169-1</f>
        <v>0.268333333333334</v>
      </c>
    </row>
    <row r="170" spans="1:13">
      <c r="A170" s="4" t="s">
        <v>79</v>
      </c>
      <c r="B170" s="4" t="s">
        <v>87</v>
      </c>
      <c r="C170" s="4" t="s">
        <v>111</v>
      </c>
      <c r="D170" s="4" t="s">
        <v>29</v>
      </c>
      <c r="E170" s="4">
        <v>20</v>
      </c>
      <c r="F170" s="5">
        <v>5</v>
      </c>
      <c r="G170" s="6">
        <f>成本与现售价!$I$170</f>
        <v>37.471</v>
      </c>
      <c r="H170" s="7">
        <f>MIN(0.95,MAX(费率与参数!$B$6,费率与参数!$B$5-(费率与参数!$B$5-费率与参数!$B$6)*(LN(MAX(G170,0.01))-LN(MIN(成本与现售价!$I$4:$I$172)))/(LN(MAX(成本与现售价!$I$4:$I$172))-LN(MIN(成本与现售价!$I$4:$I$172)))))</f>
        <v>0.19600590957545</v>
      </c>
      <c r="I170" s="8">
        <f>CEILING(G170/(1-H170)/费率与参数!$B$2,费率与参数!$B$3)*费率与参数!$B$2</f>
        <v>46.61</v>
      </c>
      <c r="J170" s="5">
        <f>I170/费率与参数!$B$2</f>
        <v>4661</v>
      </c>
      <c r="K170" s="9">
        <f t="shared" si="2"/>
        <v>0.196073803904741</v>
      </c>
      <c r="L170" s="5">
        <f>成本与现售价!$J$170</f>
        <v>3748</v>
      </c>
      <c r="M170" s="10">
        <f>I170/成本与现售价!$K$170-1</f>
        <v>0.243596584845251</v>
      </c>
    </row>
    <row r="171" spans="1:13">
      <c r="A171" s="4" t="s">
        <v>79</v>
      </c>
      <c r="B171" s="4" t="s">
        <v>80</v>
      </c>
      <c r="C171" s="4" t="s">
        <v>111</v>
      </c>
      <c r="D171" s="4" t="s">
        <v>29</v>
      </c>
      <c r="E171" s="4">
        <v>30</v>
      </c>
      <c r="F171" s="5">
        <v>5</v>
      </c>
      <c r="G171" s="6">
        <f>成本与现售价!$I$171</f>
        <v>42</v>
      </c>
      <c r="H171" s="7">
        <f>MIN(0.95,MAX(费率与参数!$B$6,费率与参数!$B$5-(费率与参数!$B$5-费率与参数!$B$6)*(LN(MAX(G171,0.01))-LN(MIN(成本与现售价!$I$4:$I$172)))/(LN(MAX(成本与现售价!$I$4:$I$172))-LN(MIN(成本与现售价!$I$4:$I$172)))))</f>
        <v>0.188118287328383</v>
      </c>
      <c r="I171" s="8">
        <f>CEILING(G171/(1-H171)/费率与参数!$B$2,费率与参数!$B$3)*费率与参数!$B$2</f>
        <v>51.74</v>
      </c>
      <c r="J171" s="5">
        <f>I171/费率与参数!$B$2</f>
        <v>5174</v>
      </c>
      <c r="K171" s="9">
        <f t="shared" si="2"/>
        <v>0.188248936992656</v>
      </c>
      <c r="L171" s="5">
        <f>成本与现售价!$J$171</f>
        <v>4200</v>
      </c>
      <c r="M171" s="10">
        <f>I171/成本与现售价!$K$171-1</f>
        <v>0.231904761904762</v>
      </c>
    </row>
    <row r="172" spans="1:13">
      <c r="A172" s="4" t="s">
        <v>79</v>
      </c>
      <c r="B172" s="4" t="s">
        <v>87</v>
      </c>
      <c r="C172" s="4" t="s">
        <v>111</v>
      </c>
      <c r="D172" s="4" t="s">
        <v>29</v>
      </c>
      <c r="E172" s="4">
        <v>30</v>
      </c>
      <c r="F172" s="5">
        <v>5</v>
      </c>
      <c r="G172" s="6">
        <f>成本与现售价!$I$172</f>
        <v>52.4594</v>
      </c>
      <c r="H172" s="7">
        <f>MIN(0.95,MAX(费率与参数!$B$6,费率与参数!$B$5-(费率与参数!$B$5-费率与参数!$B$6)*(LN(MAX(G172,0.01))-LN(MIN(成本与现售价!$I$4:$I$172)))/(LN(MAX(成本与现售价!$I$4:$I$172))-LN(MIN(成本与现售价!$I$4:$I$172)))))</f>
        <v>0.172746382951681</v>
      </c>
      <c r="I172" s="8">
        <f>CEILING(G172/(1-H172)/费率与参数!$B$2,费率与参数!$B$3)*费率与参数!$B$2</f>
        <v>63.42</v>
      </c>
      <c r="J172" s="5">
        <f>I172/费率与参数!$B$2</f>
        <v>6342</v>
      </c>
      <c r="K172" s="9">
        <f t="shared" si="2"/>
        <v>0.172825607064018</v>
      </c>
      <c r="L172" s="5">
        <f>成本与现售价!$J$172</f>
        <v>5246</v>
      </c>
      <c r="M172" s="10">
        <f>I172/成本与现售价!$K$172-1</f>
        <v>0.208921082729699</v>
      </c>
    </row>
  </sheetData>
  <conditionalFormatting sqref="K4:K172">
    <cfRule type="colorScale" priority="1">
      <colorScale>
        <cfvo type="num" val="0.3"/>
        <cfvo type="num" val="0.6"/>
        <cfvo type="num" val="0.9"/>
        <color rgb="FFFCA5A5"/>
        <color rgb="FFFDE68A"/>
        <color rgb="FF86EFAC"/>
      </colorScale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1"/>
  <sheetViews>
    <sheetView showGridLines="0" workbookViewId="0">
      <selection activeCell="A1" sqref="A1"/>
    </sheetView>
  </sheetViews>
  <sheetFormatPr defaultColWidth="9" defaultRowHeight="16.8" outlineLevelCol="2"/>
  <cols>
    <col min="1" max="1" width="26" customWidth="1"/>
    <col min="2" max="3" width="12" customWidth="1"/>
  </cols>
  <sheetData>
    <row r="1" ht="20.4" spans="1:3">
      <c r="A1" s="1" t="s">
        <v>118</v>
      </c>
    </row>
    <row r="3" spans="1:3">
      <c r="A3" s="2" t="s">
        <v>119</v>
      </c>
      <c r="B3" s="2" t="s">
        <v>98</v>
      </c>
      <c r="C3" s="2" t="s">
        <v>120</v>
      </c>
    </row>
    <row r="4" spans="1:3">
      <c r="A4" t="s">
        <v>121</v>
      </c>
      <c r="B4">
        <f>建议售价清单!G113</f>
        <v>1.5</v>
      </c>
      <c r="C4" s="3">
        <f>建议售价清单!K113</f>
        <v>0.418604651162791</v>
      </c>
    </row>
    <row r="5" spans="1:3">
      <c r="A5" t="s">
        <v>121</v>
      </c>
      <c r="B5">
        <f>建议售价清单!G114</f>
        <v>3</v>
      </c>
      <c r="C5" s="3">
        <f>建议售价清单!K114</f>
        <v>0.371069182389937</v>
      </c>
    </row>
    <row r="6" spans="1:3">
      <c r="A6" t="s">
        <v>121</v>
      </c>
      <c r="B6">
        <f>建议售价清单!G115</f>
        <v>4.5</v>
      </c>
      <c r="C6" s="3">
        <f>建议售价清单!K115</f>
        <v>0.343065693430657</v>
      </c>
    </row>
    <row r="7" spans="1:3">
      <c r="A7" t="s">
        <v>121</v>
      </c>
      <c r="B7">
        <f>建议售价清单!G116</f>
        <v>6</v>
      </c>
      <c r="C7" s="3">
        <f>建议售价清单!K116</f>
        <v>0.322799097065463</v>
      </c>
    </row>
    <row r="8" spans="1:3">
      <c r="A8" t="s">
        <v>121</v>
      </c>
      <c r="B8">
        <f>建议售价清单!G117</f>
        <v>9</v>
      </c>
      <c r="C8" s="3">
        <f>建议售价清单!K117</f>
        <v>0.294670846394984</v>
      </c>
    </row>
    <row r="9" spans="1:3">
      <c r="A9" t="s">
        <v>122</v>
      </c>
      <c r="B9">
        <f>建议售价清单!G143</f>
        <v>3</v>
      </c>
      <c r="C9" s="3">
        <f>建议售价清单!K143</f>
        <v>0.371069182389937</v>
      </c>
    </row>
    <row r="10" spans="1:3">
      <c r="A10" t="s">
        <v>122</v>
      </c>
      <c r="B10">
        <f>建议售价清单!G145</f>
        <v>4.5</v>
      </c>
      <c r="C10" s="3">
        <f>建议售价清单!K145</f>
        <v>0.343065693430657</v>
      </c>
    </row>
    <row r="11" spans="1:3">
      <c r="A11" t="s">
        <v>122</v>
      </c>
      <c r="B11">
        <f>建议售价清单!G147</f>
        <v>6</v>
      </c>
      <c r="C11" s="3">
        <f>建议售价清单!K147</f>
        <v>0.322799097065463</v>
      </c>
    </row>
    <row r="12" spans="1:3">
      <c r="A12" t="s">
        <v>122</v>
      </c>
      <c r="B12">
        <f>建议售价清单!G149</f>
        <v>7.5</v>
      </c>
      <c r="C12" s="3">
        <f>建议售价清单!K149</f>
        <v>0.307479224376731</v>
      </c>
    </row>
    <row r="13" spans="1:3">
      <c r="A13" t="s">
        <v>122</v>
      </c>
      <c r="B13">
        <f>建议售价清单!G151</f>
        <v>10.5</v>
      </c>
      <c r="C13" s="3">
        <f>建议售价清单!K151</f>
        <v>0.284253578732106</v>
      </c>
    </row>
    <row r="14" spans="1:3">
      <c r="A14" t="s">
        <v>123</v>
      </c>
      <c r="B14">
        <f>建议售价清单!G118</f>
        <v>3</v>
      </c>
      <c r="C14" s="3">
        <f>建议售价清单!K118</f>
        <v>0.371069182389937</v>
      </c>
    </row>
    <row r="15" spans="1:3">
      <c r="A15" t="s">
        <v>123</v>
      </c>
      <c r="B15">
        <f>建议售价清单!G119</f>
        <v>6</v>
      </c>
      <c r="C15" s="3">
        <f>建议售价清单!K119</f>
        <v>0.322799097065463</v>
      </c>
    </row>
    <row r="16" spans="1:3">
      <c r="A16" t="s">
        <v>123</v>
      </c>
      <c r="B16">
        <f>建议售价清单!G120</f>
        <v>9</v>
      </c>
      <c r="C16" s="3">
        <f>建议售价清单!K120</f>
        <v>0.294670846394984</v>
      </c>
    </row>
    <row r="17" spans="1:3">
      <c r="A17" t="s">
        <v>123</v>
      </c>
      <c r="B17">
        <f>建议售价清单!G121</f>
        <v>12</v>
      </c>
      <c r="C17" s="3">
        <f>建议售价清单!K121</f>
        <v>0.274924471299094</v>
      </c>
    </row>
    <row r="18" spans="1:3">
      <c r="A18" t="s">
        <v>123</v>
      </c>
      <c r="B18">
        <f>建议售价清单!G122</f>
        <v>18</v>
      </c>
      <c r="C18" s="3">
        <f>建议售价清单!K122</f>
        <v>0.246861924686193</v>
      </c>
    </row>
    <row r="19" spans="1:3">
      <c r="A19" t="s">
        <v>124</v>
      </c>
      <c r="B19">
        <f>建议售价清单!G153</f>
        <v>6</v>
      </c>
      <c r="C19" s="3">
        <f>建议售价清单!K153</f>
        <v>0.322799097065463</v>
      </c>
    </row>
    <row r="20" spans="1:3">
      <c r="A20" t="s">
        <v>124</v>
      </c>
      <c r="B20">
        <f>建议售价清单!G155</f>
        <v>9</v>
      </c>
      <c r="C20" s="3">
        <f>建议售价清单!K155</f>
        <v>0.294670846394984</v>
      </c>
    </row>
    <row r="21" spans="1:3">
      <c r="A21" t="s">
        <v>124</v>
      </c>
      <c r="B21">
        <f>建议售价清单!G157</f>
        <v>12</v>
      </c>
      <c r="C21" s="3">
        <f>建议售价清单!K157</f>
        <v>0.274924471299094</v>
      </c>
    </row>
    <row r="22" spans="1:3">
      <c r="A22" t="s">
        <v>124</v>
      </c>
      <c r="B22">
        <f>建议售价清单!G159</f>
        <v>15</v>
      </c>
      <c r="C22" s="3">
        <f>建议售价清单!K159</f>
        <v>0.259624876604146</v>
      </c>
    </row>
    <row r="23" spans="1:3">
      <c r="A23" t="s">
        <v>124</v>
      </c>
      <c r="B23">
        <f>建议售价清单!G161</f>
        <v>21</v>
      </c>
      <c r="C23" s="3">
        <f>建议售价清单!K161</f>
        <v>0.236085849399782</v>
      </c>
    </row>
    <row r="24" spans="1:3">
      <c r="A24" t="s">
        <v>125</v>
      </c>
      <c r="B24">
        <f>建议售价清单!G123</f>
        <v>6</v>
      </c>
      <c r="C24" s="3">
        <f>建议售价清单!K123</f>
        <v>0.322799097065463</v>
      </c>
    </row>
    <row r="25" spans="1:3">
      <c r="A25" t="s">
        <v>125</v>
      </c>
      <c r="B25">
        <f>建议售价清单!G124</f>
        <v>12</v>
      </c>
      <c r="C25" s="3">
        <f>建议售价清单!K124</f>
        <v>0.274924471299094</v>
      </c>
    </row>
    <row r="26" spans="1:3">
      <c r="A26" t="s">
        <v>125</v>
      </c>
      <c r="B26">
        <f>建议售价清单!G125</f>
        <v>18</v>
      </c>
      <c r="C26" s="3">
        <f>建议售价清单!K125</f>
        <v>0.246861924686193</v>
      </c>
    </row>
    <row r="27" spans="1:3">
      <c r="A27" t="s">
        <v>125</v>
      </c>
      <c r="B27">
        <f>建议售价清单!G126</f>
        <v>24</v>
      </c>
      <c r="C27" s="3">
        <f>建议售价清单!K126</f>
        <v>0.22680412371134</v>
      </c>
    </row>
    <row r="28" spans="1:3">
      <c r="A28" t="s">
        <v>125</v>
      </c>
      <c r="B28">
        <f>建议售价清单!G127</f>
        <v>36</v>
      </c>
      <c r="C28" s="3">
        <f>建议售价清单!K127</f>
        <v>0.198931909212283</v>
      </c>
    </row>
    <row r="29" spans="1:3">
      <c r="A29" t="s">
        <v>126</v>
      </c>
      <c r="B29">
        <f>建议售价清单!G163</f>
        <v>12</v>
      </c>
      <c r="C29" s="3">
        <f>建议售价清单!K163</f>
        <v>0.274924471299094</v>
      </c>
    </row>
    <row r="30" spans="1:3">
      <c r="A30" t="s">
        <v>126</v>
      </c>
      <c r="B30">
        <f>建议售价清单!G165</f>
        <v>18</v>
      </c>
      <c r="C30" s="3">
        <f>建议售价清单!K165</f>
        <v>0.246861924686193</v>
      </c>
    </row>
    <row r="31" spans="1:3">
      <c r="A31" t="s">
        <v>126</v>
      </c>
      <c r="B31">
        <f>建议售价清单!G167</f>
        <v>24</v>
      </c>
      <c r="C31" s="3">
        <f>建议售价清单!K167</f>
        <v>0.22680412371134</v>
      </c>
    </row>
    <row r="32" spans="1:3">
      <c r="A32" t="s">
        <v>126</v>
      </c>
      <c r="B32">
        <f>建议售价清单!G169</f>
        <v>30</v>
      </c>
      <c r="C32" s="3">
        <f>建议售价清单!K169</f>
        <v>0.211563731931669</v>
      </c>
    </row>
    <row r="33" spans="1:3">
      <c r="A33" t="s">
        <v>126</v>
      </c>
      <c r="B33">
        <f>建议售价清单!G171</f>
        <v>42</v>
      </c>
      <c r="C33" s="3">
        <f>建议售价清单!K171</f>
        <v>0.188248936992656</v>
      </c>
    </row>
    <row r="34" spans="1:3">
      <c r="A34" t="s">
        <v>127</v>
      </c>
      <c r="B34">
        <f>建议售价清单!G67</f>
        <v>2</v>
      </c>
      <c r="C34" s="3">
        <f>建议售价清单!K67</f>
        <v>0.399399399399399</v>
      </c>
    </row>
    <row r="35" spans="1:3">
      <c r="A35" t="s">
        <v>127</v>
      </c>
      <c r="B35">
        <f>建议售价清单!G68</f>
        <v>2.5</v>
      </c>
      <c r="C35" s="3">
        <f>建议售价清单!K68</f>
        <v>0.384236453201971</v>
      </c>
    </row>
    <row r="36" spans="1:3">
      <c r="A36" t="s">
        <v>127</v>
      </c>
      <c r="B36">
        <f>建议售价清单!G69</f>
        <v>3</v>
      </c>
      <c r="C36" s="3">
        <f>建议售价清单!K69</f>
        <v>0.371069182389937</v>
      </c>
    </row>
    <row r="37" spans="1:3">
      <c r="A37" t="s">
        <v>127</v>
      </c>
      <c r="B37">
        <f>建议售价清单!G70</f>
        <v>3.5</v>
      </c>
      <c r="C37" s="3">
        <f>建议售价清单!K70</f>
        <v>0.360146252285192</v>
      </c>
    </row>
    <row r="38" spans="1:3">
      <c r="A38" t="s">
        <v>127</v>
      </c>
      <c r="B38">
        <f>建议售价清单!G71</f>
        <v>4</v>
      </c>
      <c r="C38" s="3">
        <f>建议售价清单!K71</f>
        <v>0.351701782820097</v>
      </c>
    </row>
    <row r="39" spans="1:3">
      <c r="A39" t="s">
        <v>127</v>
      </c>
      <c r="B39">
        <f>建议售价清单!G72</f>
        <v>4.5</v>
      </c>
      <c r="C39" s="3">
        <f>建议售价清单!K72</f>
        <v>0.343065693430657</v>
      </c>
    </row>
    <row r="40" spans="1:3">
      <c r="A40" t="s">
        <v>127</v>
      </c>
      <c r="B40">
        <f>建议售价清单!G73</f>
        <v>5</v>
      </c>
      <c r="C40" s="3">
        <f>建议售价清单!K73</f>
        <v>0.335989375830013</v>
      </c>
    </row>
    <row r="41" spans="1:3">
      <c r="A41" t="s">
        <v>127</v>
      </c>
      <c r="B41">
        <f>建议售价清单!G74</f>
        <v>5.5</v>
      </c>
      <c r="C41" s="3">
        <f>建议售价清单!K74</f>
        <v>0.329268292682927</v>
      </c>
    </row>
    <row r="42" spans="1:3">
      <c r="A42" t="s">
        <v>127</v>
      </c>
      <c r="B42">
        <f>建议售价清单!G75</f>
        <v>6</v>
      </c>
      <c r="C42" s="3">
        <f>建议售价清单!K75</f>
        <v>0.322799097065463</v>
      </c>
    </row>
    <row r="43" spans="1:3">
      <c r="A43" t="s">
        <v>127</v>
      </c>
      <c r="B43">
        <f>建议售价清单!G76</f>
        <v>6.5</v>
      </c>
      <c r="C43" s="3">
        <f>建议售价清单!K76</f>
        <v>0.317226890756303</v>
      </c>
    </row>
    <row r="44" spans="1:3">
      <c r="A44" t="s">
        <v>127</v>
      </c>
      <c r="B44">
        <f>建议售价清单!G77</f>
        <v>7</v>
      </c>
      <c r="C44" s="3">
        <f>建议售价清单!K77</f>
        <v>0.31237721021611</v>
      </c>
    </row>
    <row r="45" spans="1:3">
      <c r="A45" t="s">
        <v>127</v>
      </c>
      <c r="B45">
        <f>建议售价清单!G78</f>
        <v>7.5</v>
      </c>
      <c r="C45" s="3">
        <f>建议售价清单!K78</f>
        <v>0.307479224376731</v>
      </c>
    </row>
    <row r="46" spans="1:3">
      <c r="A46" t="s">
        <v>128</v>
      </c>
      <c r="B46">
        <f>建议售价清单!G79</f>
        <v>3.2</v>
      </c>
      <c r="C46" s="3">
        <f>建议售价清单!K79</f>
        <v>0.366336633663366</v>
      </c>
    </row>
    <row r="47" spans="1:3">
      <c r="A47" t="s">
        <v>128</v>
      </c>
      <c r="B47">
        <f>建议售价清单!G80</f>
        <v>4</v>
      </c>
      <c r="C47" s="3">
        <f>建议售价清单!K80</f>
        <v>0.351701782820097</v>
      </c>
    </row>
    <row r="48" spans="1:3">
      <c r="A48" t="s">
        <v>128</v>
      </c>
      <c r="B48">
        <f>建议售价清单!G81</f>
        <v>4.8</v>
      </c>
      <c r="C48" s="3">
        <f>建议售价清单!K81</f>
        <v>0.338842975206611</v>
      </c>
    </row>
    <row r="49" spans="1:3">
      <c r="A49" t="s">
        <v>128</v>
      </c>
      <c r="B49">
        <f>建议售价清单!G82</f>
        <v>5.6</v>
      </c>
      <c r="C49" s="3">
        <f>建议售价清单!K82</f>
        <v>0.327731092436975</v>
      </c>
    </row>
    <row r="50" spans="1:3">
      <c r="A50" t="s">
        <v>128</v>
      </c>
      <c r="B50">
        <f>建议售价清单!G83</f>
        <v>6.4</v>
      </c>
      <c r="C50" s="3">
        <f>建议售价清单!K83</f>
        <v>0.318423855165069</v>
      </c>
    </row>
    <row r="51" spans="1:3">
      <c r="A51" t="s">
        <v>128</v>
      </c>
      <c r="B51">
        <f>建议售价清单!G84</f>
        <v>7.2</v>
      </c>
      <c r="C51" s="3">
        <f>建议售价清单!K84</f>
        <v>0.310344827586207</v>
      </c>
    </row>
    <row r="52" spans="1:3">
      <c r="A52" t="s">
        <v>128</v>
      </c>
      <c r="B52">
        <f>建议售价清单!G85</f>
        <v>8</v>
      </c>
      <c r="C52" s="3">
        <f>建议售价清单!K85</f>
        <v>0.303135888501742</v>
      </c>
    </row>
    <row r="53" spans="1:3">
      <c r="A53" t="s">
        <v>128</v>
      </c>
      <c r="B53">
        <f>建议售价清单!G86</f>
        <v>8.8</v>
      </c>
      <c r="C53" s="3">
        <f>建议售价清单!K86</f>
        <v>0.29656274980016</v>
      </c>
    </row>
    <row r="54" spans="1:3">
      <c r="A54" t="s">
        <v>128</v>
      </c>
      <c r="B54">
        <f>建议售价清单!G87</f>
        <v>9.6</v>
      </c>
      <c r="C54" s="3">
        <f>建议售价清单!K87</f>
        <v>0.290465631929047</v>
      </c>
    </row>
    <row r="55" spans="1:3">
      <c r="A55" t="s">
        <v>128</v>
      </c>
      <c r="B55">
        <f>建议售价清单!G88</f>
        <v>10.4</v>
      </c>
      <c r="C55" s="3">
        <f>建议售价清单!K88</f>
        <v>0.284731774415406</v>
      </c>
    </row>
    <row r="56" spans="1:3">
      <c r="A56" t="s">
        <v>128</v>
      </c>
      <c r="B56">
        <f>建议售价清单!G89</f>
        <v>11.2</v>
      </c>
      <c r="C56" s="3">
        <f>建议售价清单!K89</f>
        <v>0.279742765273312</v>
      </c>
    </row>
    <row r="57" spans="1:3">
      <c r="A57" t="s">
        <v>128</v>
      </c>
      <c r="B57">
        <f>建议售价清单!G90</f>
        <v>12</v>
      </c>
      <c r="C57" s="3">
        <f>建议售价清单!K90</f>
        <v>0.274924471299094</v>
      </c>
    </row>
    <row r="58" spans="1:3">
      <c r="A58" t="s">
        <v>129</v>
      </c>
      <c r="B58">
        <f>建议售价清单!G55</f>
        <v>5.832</v>
      </c>
      <c r="C58" s="3">
        <f>建议售价清单!K55</f>
        <v>0.325</v>
      </c>
    </row>
    <row r="59" spans="1:3">
      <c r="A59" t="s">
        <v>129</v>
      </c>
      <c r="B59">
        <f>建议售价清单!G56</f>
        <v>7.29</v>
      </c>
      <c r="C59" s="3">
        <f>建议售价清单!K56</f>
        <v>0.309659090909091</v>
      </c>
    </row>
    <row r="60" spans="1:3">
      <c r="A60" t="s">
        <v>129</v>
      </c>
      <c r="B60">
        <f>建议售价清单!G57</f>
        <v>8.748</v>
      </c>
      <c r="C60" s="3">
        <f>建议售价清单!K57</f>
        <v>0.296784565916399</v>
      </c>
    </row>
    <row r="61" spans="1:3">
      <c r="A61" t="s">
        <v>129</v>
      </c>
      <c r="B61">
        <f>建议售价清单!G58</f>
        <v>10.206</v>
      </c>
      <c r="C61" s="3">
        <f>建议售价清单!K58</f>
        <v>0.286293706293706</v>
      </c>
    </row>
    <row r="62" spans="1:3">
      <c r="A62" t="s">
        <v>129</v>
      </c>
      <c r="B62">
        <f>建议售价清单!G59</f>
        <v>11.664</v>
      </c>
      <c r="C62" s="3">
        <f>建议售价清单!K59</f>
        <v>0.276875387476751</v>
      </c>
    </row>
    <row r="63" spans="1:3">
      <c r="A63" t="s">
        <v>129</v>
      </c>
      <c r="B63">
        <f>建议售价清单!G60</f>
        <v>13.122</v>
      </c>
      <c r="C63" s="3">
        <f>建议售价清单!K60</f>
        <v>0.268561872909699</v>
      </c>
    </row>
    <row r="64" spans="1:3">
      <c r="A64" t="s">
        <v>129</v>
      </c>
      <c r="B64">
        <f>建议售价清单!G61</f>
        <v>14.58</v>
      </c>
      <c r="C64" s="3">
        <f>建议售价清单!K61</f>
        <v>0.261398176291793</v>
      </c>
    </row>
    <row r="65" spans="1:3">
      <c r="A65" t="s">
        <v>129</v>
      </c>
      <c r="B65">
        <f>建议售价清单!G62</f>
        <v>16.038</v>
      </c>
      <c r="C65" s="3">
        <f>建议售价清单!K62</f>
        <v>0.254739776951673</v>
      </c>
    </row>
    <row r="66" spans="1:3">
      <c r="A66" t="s">
        <v>129</v>
      </c>
      <c r="B66">
        <f>建议售价清单!G63</f>
        <v>17.496</v>
      </c>
      <c r="C66" s="3">
        <f>建议售价清单!K63</f>
        <v>0.248776298840704</v>
      </c>
    </row>
    <row r="67" spans="1:3">
      <c r="A67" t="s">
        <v>129</v>
      </c>
      <c r="B67">
        <f>建议售价清单!G64</f>
        <v>18.954</v>
      </c>
      <c r="C67" s="3">
        <f>建议售价清单!K64</f>
        <v>0.243353293413174</v>
      </c>
    </row>
    <row r="68" spans="1:3">
      <c r="A68" t="s">
        <v>129</v>
      </c>
      <c r="B68">
        <f>建议售价清单!G65</f>
        <v>20.412</v>
      </c>
      <c r="C68" s="3">
        <f>建议售价清单!K65</f>
        <v>0.238073908174692</v>
      </c>
    </row>
    <row r="69" spans="1:3">
      <c r="A69" t="s">
        <v>129</v>
      </c>
      <c r="B69">
        <f>建议售价清单!G66</f>
        <v>21.87</v>
      </c>
      <c r="C69" s="3">
        <f>建议售价清单!K66</f>
        <v>0.233438485804416</v>
      </c>
    </row>
    <row r="70" spans="1:3">
      <c r="A70" t="s">
        <v>130</v>
      </c>
      <c r="B70">
        <f>建议售价清单!G8</f>
        <v>36.45</v>
      </c>
      <c r="C70" s="3">
        <f>建议售价清单!K8</f>
        <v>0.198019801980198</v>
      </c>
    </row>
    <row r="71" spans="1:3">
      <c r="A71" t="s">
        <v>130</v>
      </c>
      <c r="B71">
        <f>建议售价清单!G9</f>
        <v>72.9</v>
      </c>
      <c r="C71" s="3">
        <f>建议售价清单!K9</f>
        <v>0.150052465897167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说明</vt:lpstr>
      <vt:lpstr>费率与参数</vt:lpstr>
      <vt:lpstr>成本与现售价</vt:lpstr>
      <vt:lpstr>建议售价清单</vt:lpstr>
      <vt:lpstr>利润率曲线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FatBallFish</cp:lastModifiedBy>
  <dcterms:created xsi:type="dcterms:W3CDTF">2026-09-29T23:24:00Z</dcterms:created>
  <dcterms:modified xsi:type="dcterms:W3CDTF">2026-10-02T01:24:58Z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C85B811449B9CF4F6A97BE6A23143E6D_42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